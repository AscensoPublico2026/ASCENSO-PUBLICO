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xr:revisionPtr revIDLastSave="0" documentId="13_ncr:1_{DAA5AA87-D3CE-4F29-855F-FE2C00EA830C}" xr6:coauthVersionLast="47" xr6:coauthVersionMax="47" xr10:uidLastSave="{00000000-0000-0000-0000-000000000000}"/>
  <bookViews>
    <workbookView xWindow="-110" yWindow="-110" windowWidth="19420" windowHeight="11020" xr2:uid="{DD8E3081-3FCC-4AF8-B29A-F2DFD12CD8C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2" i="2"/>
  <c r="L18" i="2" l="1"/>
</calcChain>
</file>

<file path=xl/sharedStrings.xml><?xml version="1.0" encoding="utf-8"?>
<sst xmlns="http://schemas.openxmlformats.org/spreadsheetml/2006/main" count="75" uniqueCount="34">
  <si>
    <t>Stefanya lasso</t>
  </si>
  <si>
    <t>Listo para despacho</t>
  </si>
  <si>
    <t>Evolti 2</t>
  </si>
  <si>
    <t>Jeancarlo Moncayo</t>
  </si>
  <si>
    <t>Arturo</t>
  </si>
  <si>
    <t>Elkin Polo</t>
  </si>
  <si>
    <t>Gamma 2</t>
  </si>
  <si>
    <t>Nueva Reserva</t>
  </si>
  <si>
    <t>Sigma 1</t>
  </si>
  <si>
    <t>Sigma 2</t>
  </si>
  <si>
    <t>Delta 5 (Piendaroma 2)</t>
  </si>
  <si>
    <t>Virox</t>
  </si>
  <si>
    <t>Altair 1</t>
  </si>
  <si>
    <t>Altair 2</t>
  </si>
  <si>
    <t>Axis 2</t>
  </si>
  <si>
    <t>Altair 3</t>
  </si>
  <si>
    <t>Gamma 3</t>
  </si>
  <si>
    <t>Gamma 4</t>
  </si>
  <si>
    <t>Formosa 1</t>
  </si>
  <si>
    <t>Formosa 2</t>
  </si>
  <si>
    <t>Formosa 3</t>
  </si>
  <si>
    <t>PROYECTO</t>
  </si>
  <si>
    <t>FECHA ESTIMADA DE ENTREGA</t>
  </si>
  <si>
    <t>GERENTE</t>
  </si>
  <si>
    <t>ESTADO DE COMPRA</t>
  </si>
  <si>
    <t>OC</t>
  </si>
  <si>
    <t>SUN2000-330KTL-H1</t>
  </si>
  <si>
    <t>SUN2000-40KTL-M3</t>
  </si>
  <si>
    <t>SUN2000 50KTL-M3</t>
  </si>
  <si>
    <t>SMARTLOGGER3000A01AU</t>
  </si>
  <si>
    <t>TOTAL POR OC</t>
  </si>
  <si>
    <t>IVA</t>
  </si>
  <si>
    <t>TRANSPORTE</t>
  </si>
  <si>
    <t>PENDIENTE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</si>
</sst>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2" formatCode="&quot;$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14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72" fontId="0" fillId="0" borderId="0" xfId="1" applyNumberFormat="1" applyFont="1" applyFill="1" applyBorder="1"/>
    <xf numFmtId="172" fontId="1" fillId="0" borderId="1" xfId="1" applyNumberFormat="1" applyFont="1" applyFill="1" applyBorder="1" applyAlignment="1">
      <alignment vertical="center"/>
    </xf>
    <xf numFmtId="172" fontId="0" fillId="0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172" fontId="2" fillId="0" borderId="1" xfId="0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16E2-6082-438D-85FA-181990BF310E}">
  <dimension ref="A1:L18"/>
  <sheetViews>
    <sheetView tabSelected="1" zoomScale="70" zoomScaleNormal="70" workbookViewId="0">
      <selection activeCell="L12" sqref="L12"/>
    </sheetView>
  </sheetViews>
  <sheetFormatPr baseColWidth="10" defaultRowHeight="14.5" x14ac:dyDescent="0.35"/>
  <cols>
    <col min="5" max="5" width="24.1796875" customWidth="1"/>
    <col min="6" max="6" width="11.26953125" bestFit="1" customWidth="1"/>
    <col min="7" max="8" width="10.26953125" bestFit="1" customWidth="1"/>
    <col min="9" max="9" width="10.36328125" bestFit="1" customWidth="1"/>
    <col min="10" max="10" width="8.7265625" bestFit="1" customWidth="1"/>
    <col min="11" max="11" width="11.81640625" bestFit="1" customWidth="1"/>
    <col min="12" max="12" width="13.81640625" bestFit="1" customWidth="1"/>
  </cols>
  <sheetData>
    <row r="1" spans="1:12" ht="58" x14ac:dyDescent="0.3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31</v>
      </c>
      <c r="K1" s="6" t="s">
        <v>32</v>
      </c>
      <c r="L1" s="6" t="s">
        <v>30</v>
      </c>
    </row>
    <row r="2" spans="1:12" ht="29" x14ac:dyDescent="0.35">
      <c r="A2" s="2" t="s">
        <v>2</v>
      </c>
      <c r="B2" s="3">
        <v>46311</v>
      </c>
      <c r="C2" s="2" t="s">
        <v>3</v>
      </c>
      <c r="D2" s="2" t="s">
        <v>1</v>
      </c>
      <c r="E2" s="4">
        <v>3907</v>
      </c>
      <c r="F2" s="8">
        <v>84600000</v>
      </c>
      <c r="G2" s="8"/>
      <c r="H2" s="8"/>
      <c r="I2" s="8"/>
      <c r="J2" s="8"/>
      <c r="K2" s="8">
        <v>1270000</v>
      </c>
      <c r="L2" s="9">
        <f>+F2+G2+H2+I2+J2+K2</f>
        <v>85870000</v>
      </c>
    </row>
    <row r="3" spans="1:12" ht="29" x14ac:dyDescent="0.35">
      <c r="A3" s="2" t="s">
        <v>4</v>
      </c>
      <c r="B3" s="3">
        <v>46329</v>
      </c>
      <c r="C3" s="2" t="s">
        <v>5</v>
      </c>
      <c r="D3" s="2" t="s">
        <v>1</v>
      </c>
      <c r="E3" s="10" t="s">
        <v>33</v>
      </c>
      <c r="F3" s="8">
        <v>84600000</v>
      </c>
      <c r="G3" s="8">
        <v>9006000</v>
      </c>
      <c r="H3" s="8">
        <v>9640000</v>
      </c>
      <c r="I3" s="9">
        <v>1720000</v>
      </c>
      <c r="J3" s="9">
        <v>326800</v>
      </c>
      <c r="K3" s="8">
        <v>0</v>
      </c>
      <c r="L3" s="9">
        <f t="shared" ref="L3:L17" si="0">+F3+G3+H3+I3+J3+K3</f>
        <v>105292800</v>
      </c>
    </row>
    <row r="4" spans="1:12" ht="29" x14ac:dyDescent="0.35">
      <c r="A4" s="2" t="s">
        <v>6</v>
      </c>
      <c r="B4" s="3">
        <v>46329</v>
      </c>
      <c r="C4" s="2" t="s">
        <v>5</v>
      </c>
      <c r="D4" s="2" t="s">
        <v>7</v>
      </c>
      <c r="E4" s="10" t="s">
        <v>33</v>
      </c>
      <c r="F4" s="8">
        <v>84600000</v>
      </c>
      <c r="G4" s="8">
        <v>9006000</v>
      </c>
      <c r="H4" s="8">
        <v>9640000</v>
      </c>
      <c r="I4" s="9">
        <v>1720000</v>
      </c>
      <c r="J4" s="9">
        <v>326800</v>
      </c>
      <c r="K4" s="8">
        <v>0</v>
      </c>
      <c r="L4" s="9">
        <f t="shared" si="0"/>
        <v>105292800</v>
      </c>
    </row>
    <row r="5" spans="1:12" ht="29" x14ac:dyDescent="0.35">
      <c r="A5" s="2" t="s">
        <v>8</v>
      </c>
      <c r="B5" s="3">
        <v>46329</v>
      </c>
      <c r="C5" s="2" t="s">
        <v>3</v>
      </c>
      <c r="D5" s="2" t="s">
        <v>7</v>
      </c>
      <c r="E5" s="10" t="s">
        <v>33</v>
      </c>
      <c r="F5" s="8">
        <v>84600000</v>
      </c>
      <c r="G5" s="8">
        <v>9006000</v>
      </c>
      <c r="H5" s="8">
        <v>9640000</v>
      </c>
      <c r="I5" s="9">
        <v>1720000</v>
      </c>
      <c r="J5" s="9">
        <v>326800</v>
      </c>
      <c r="K5" s="8">
        <v>0</v>
      </c>
      <c r="L5" s="9">
        <f t="shared" si="0"/>
        <v>105292800</v>
      </c>
    </row>
    <row r="6" spans="1:12" ht="29" x14ac:dyDescent="0.35">
      <c r="A6" s="2" t="s">
        <v>9</v>
      </c>
      <c r="B6" s="3">
        <v>46329</v>
      </c>
      <c r="C6" s="2" t="s">
        <v>3</v>
      </c>
      <c r="D6" s="2" t="s">
        <v>7</v>
      </c>
      <c r="E6" s="10" t="s">
        <v>33</v>
      </c>
      <c r="F6" s="8">
        <v>84600000</v>
      </c>
      <c r="G6" s="8">
        <v>9006000</v>
      </c>
      <c r="H6" s="8">
        <v>9640000</v>
      </c>
      <c r="I6" s="9">
        <v>1720000</v>
      </c>
      <c r="J6" s="9">
        <v>326800</v>
      </c>
      <c r="K6" s="8">
        <v>0</v>
      </c>
      <c r="L6" s="9">
        <f t="shared" si="0"/>
        <v>105292800</v>
      </c>
    </row>
    <row r="7" spans="1:12" ht="43.5" x14ac:dyDescent="0.35">
      <c r="A7" s="2" t="s">
        <v>10</v>
      </c>
      <c r="B7" s="3">
        <v>46339</v>
      </c>
      <c r="C7" s="2" t="s">
        <v>0</v>
      </c>
      <c r="D7" s="2" t="s">
        <v>1</v>
      </c>
      <c r="E7" s="10" t="s">
        <v>33</v>
      </c>
      <c r="F7" s="8">
        <v>84600000</v>
      </c>
      <c r="G7" s="8">
        <v>9006000</v>
      </c>
      <c r="H7" s="8">
        <v>9640000</v>
      </c>
      <c r="I7" s="9">
        <v>1720000</v>
      </c>
      <c r="J7" s="9">
        <v>326800</v>
      </c>
      <c r="K7" s="8">
        <v>0</v>
      </c>
      <c r="L7" s="9">
        <f t="shared" si="0"/>
        <v>105292800</v>
      </c>
    </row>
    <row r="8" spans="1:12" ht="29" x14ac:dyDescent="0.35">
      <c r="A8" s="2" t="s">
        <v>11</v>
      </c>
      <c r="B8" s="3">
        <v>46342</v>
      </c>
      <c r="C8" s="2" t="s">
        <v>3</v>
      </c>
      <c r="D8" s="2" t="s">
        <v>7</v>
      </c>
      <c r="E8" s="10" t="s">
        <v>33</v>
      </c>
      <c r="F8" s="8">
        <v>84600000</v>
      </c>
      <c r="G8" s="8">
        <v>9006000</v>
      </c>
      <c r="H8" s="8">
        <v>9640000</v>
      </c>
      <c r="I8" s="9">
        <v>1720000</v>
      </c>
      <c r="J8" s="9">
        <v>326800</v>
      </c>
      <c r="K8" s="8">
        <v>0</v>
      </c>
      <c r="L8" s="9">
        <f t="shared" si="0"/>
        <v>105292800</v>
      </c>
    </row>
    <row r="9" spans="1:12" ht="29" x14ac:dyDescent="0.35">
      <c r="A9" s="2" t="s">
        <v>12</v>
      </c>
      <c r="B9" s="3">
        <v>46359</v>
      </c>
      <c r="C9" s="2" t="s">
        <v>0</v>
      </c>
      <c r="D9" s="2" t="s">
        <v>7</v>
      </c>
      <c r="E9" s="10" t="s">
        <v>33</v>
      </c>
      <c r="F9" s="8">
        <v>84600000</v>
      </c>
      <c r="G9" s="8">
        <v>9006000</v>
      </c>
      <c r="H9" s="8">
        <v>9640000</v>
      </c>
      <c r="I9" s="9">
        <v>1720000</v>
      </c>
      <c r="J9" s="9">
        <v>326800</v>
      </c>
      <c r="K9" s="8">
        <v>0</v>
      </c>
      <c r="L9" s="9">
        <f t="shared" si="0"/>
        <v>105292800</v>
      </c>
    </row>
    <row r="10" spans="1:12" ht="29" x14ac:dyDescent="0.35">
      <c r="A10" s="2" t="s">
        <v>13</v>
      </c>
      <c r="B10" s="3">
        <v>46359</v>
      </c>
      <c r="C10" s="2" t="s">
        <v>0</v>
      </c>
      <c r="D10" s="2" t="s">
        <v>7</v>
      </c>
      <c r="E10" s="10" t="s">
        <v>33</v>
      </c>
      <c r="F10" s="8">
        <v>84600000</v>
      </c>
      <c r="G10" s="8">
        <v>9006000</v>
      </c>
      <c r="H10" s="8">
        <v>9640000</v>
      </c>
      <c r="I10" s="9">
        <v>1720000</v>
      </c>
      <c r="J10" s="9">
        <v>326800</v>
      </c>
      <c r="K10" s="8">
        <v>0</v>
      </c>
      <c r="L10" s="9">
        <f t="shared" si="0"/>
        <v>105292800</v>
      </c>
    </row>
    <row r="11" spans="1:12" ht="29" x14ac:dyDescent="0.35">
      <c r="A11" s="2" t="s">
        <v>14</v>
      </c>
      <c r="B11" s="3">
        <v>46402</v>
      </c>
      <c r="C11" s="2" t="s">
        <v>0</v>
      </c>
      <c r="D11" s="2" t="s">
        <v>7</v>
      </c>
      <c r="E11" s="10" t="s">
        <v>33</v>
      </c>
      <c r="F11" s="8">
        <v>84600000</v>
      </c>
      <c r="G11" s="8">
        <v>9006000</v>
      </c>
      <c r="H11" s="8">
        <v>9640000</v>
      </c>
      <c r="I11" s="9">
        <v>1720000</v>
      </c>
      <c r="J11" s="9">
        <v>326800</v>
      </c>
      <c r="K11" s="8">
        <v>0</v>
      </c>
      <c r="L11" s="9">
        <f t="shared" si="0"/>
        <v>105292800</v>
      </c>
    </row>
    <row r="12" spans="1:12" ht="29" x14ac:dyDescent="0.35">
      <c r="A12" s="2" t="s">
        <v>15</v>
      </c>
      <c r="B12" s="3">
        <v>46402</v>
      </c>
      <c r="C12" s="2" t="s">
        <v>0</v>
      </c>
      <c r="D12" s="2" t="s">
        <v>7</v>
      </c>
      <c r="E12" s="10" t="s">
        <v>33</v>
      </c>
      <c r="F12" s="8">
        <v>84600000</v>
      </c>
      <c r="G12" s="8">
        <v>9006000</v>
      </c>
      <c r="H12" s="8">
        <v>9640000</v>
      </c>
      <c r="I12" s="9">
        <v>1720000</v>
      </c>
      <c r="J12" s="9">
        <v>326800</v>
      </c>
      <c r="K12" s="8">
        <v>0</v>
      </c>
      <c r="L12" s="9">
        <f t="shared" si="0"/>
        <v>105292800</v>
      </c>
    </row>
    <row r="13" spans="1:12" ht="29" x14ac:dyDescent="0.35">
      <c r="A13" s="2" t="s">
        <v>16</v>
      </c>
      <c r="B13" s="3">
        <v>46402</v>
      </c>
      <c r="C13" s="2" t="s">
        <v>5</v>
      </c>
      <c r="D13" s="2" t="s">
        <v>7</v>
      </c>
      <c r="E13" s="10" t="s">
        <v>33</v>
      </c>
      <c r="F13" s="8">
        <v>84600000</v>
      </c>
      <c r="G13" s="8">
        <v>9006000</v>
      </c>
      <c r="H13" s="8">
        <v>9640000</v>
      </c>
      <c r="I13" s="9">
        <v>1720000</v>
      </c>
      <c r="J13" s="9">
        <v>326800</v>
      </c>
      <c r="K13" s="8">
        <v>0</v>
      </c>
      <c r="L13" s="9">
        <f t="shared" si="0"/>
        <v>105292800</v>
      </c>
    </row>
    <row r="14" spans="1:12" ht="29" x14ac:dyDescent="0.35">
      <c r="A14" s="2" t="s">
        <v>17</v>
      </c>
      <c r="B14" s="3">
        <v>46402</v>
      </c>
      <c r="C14" s="2" t="s">
        <v>5</v>
      </c>
      <c r="D14" s="2" t="s">
        <v>7</v>
      </c>
      <c r="E14" s="10" t="s">
        <v>33</v>
      </c>
      <c r="F14" s="8">
        <v>84600000</v>
      </c>
      <c r="G14" s="8">
        <v>9006000</v>
      </c>
      <c r="H14" s="8">
        <v>9640000</v>
      </c>
      <c r="I14" s="9">
        <v>1720000</v>
      </c>
      <c r="J14" s="9">
        <v>326800</v>
      </c>
      <c r="K14" s="8">
        <v>0</v>
      </c>
      <c r="L14" s="9">
        <f t="shared" si="0"/>
        <v>105292800</v>
      </c>
    </row>
    <row r="15" spans="1:12" ht="29" x14ac:dyDescent="0.35">
      <c r="A15" s="2" t="s">
        <v>18</v>
      </c>
      <c r="B15" s="3">
        <v>46402</v>
      </c>
      <c r="C15" s="2" t="s">
        <v>0</v>
      </c>
      <c r="D15" s="2" t="s">
        <v>7</v>
      </c>
      <c r="E15" s="10" t="s">
        <v>33</v>
      </c>
      <c r="F15" s="8">
        <v>84600000</v>
      </c>
      <c r="G15" s="8">
        <v>9006000</v>
      </c>
      <c r="H15" s="8">
        <v>9640000</v>
      </c>
      <c r="I15" s="9">
        <v>1720000</v>
      </c>
      <c r="J15" s="9">
        <v>326800</v>
      </c>
      <c r="K15" s="8">
        <v>0</v>
      </c>
      <c r="L15" s="9">
        <f t="shared" si="0"/>
        <v>105292800</v>
      </c>
    </row>
    <row r="16" spans="1:12" ht="29" x14ac:dyDescent="0.35">
      <c r="A16" s="2" t="s">
        <v>19</v>
      </c>
      <c r="B16" s="3">
        <v>46402</v>
      </c>
      <c r="C16" s="2" t="s">
        <v>0</v>
      </c>
      <c r="D16" s="2" t="s">
        <v>7</v>
      </c>
      <c r="E16" s="10" t="s">
        <v>33</v>
      </c>
      <c r="F16" s="8">
        <v>84600000</v>
      </c>
      <c r="G16" s="8">
        <v>9006000</v>
      </c>
      <c r="H16" s="8">
        <v>9640000</v>
      </c>
      <c r="I16" s="9">
        <v>1720000</v>
      </c>
      <c r="J16" s="9">
        <v>326800</v>
      </c>
      <c r="K16" s="8">
        <v>0</v>
      </c>
      <c r="L16" s="9">
        <f t="shared" si="0"/>
        <v>105292800</v>
      </c>
    </row>
    <row r="17" spans="1:12" ht="29" x14ac:dyDescent="0.35">
      <c r="A17" s="2" t="s">
        <v>20</v>
      </c>
      <c r="B17" s="3">
        <v>46402</v>
      </c>
      <c r="C17" s="2" t="s">
        <v>0</v>
      </c>
      <c r="D17" s="2" t="s">
        <v>7</v>
      </c>
      <c r="E17" s="10" t="s">
        <v>33</v>
      </c>
      <c r="F17" s="8">
        <v>84600000</v>
      </c>
      <c r="G17" s="8">
        <v>9006000</v>
      </c>
      <c r="H17" s="8">
        <v>9640000</v>
      </c>
      <c r="I17" s="9">
        <v>1720000</v>
      </c>
      <c r="J17" s="9">
        <v>326800</v>
      </c>
      <c r="K17" s="8">
        <v>0</v>
      </c>
      <c r="L17" s="9">
        <f t="shared" si="0"/>
        <v>105292800</v>
      </c>
    </row>
    <row r="18" spans="1:12" x14ac:dyDescent="0.35">
      <c r="A18" s="1"/>
      <c r="B18" s="1"/>
      <c r="C18" s="1"/>
      <c r="D18" s="1"/>
      <c r="E18" s="5"/>
      <c r="F18" s="1"/>
      <c r="G18" s="1"/>
      <c r="H18" s="1"/>
      <c r="I18" s="1"/>
      <c r="J18" s="1"/>
      <c r="K18" s="7"/>
      <c r="L18" s="11">
        <f>+SUM(L2:L17)</f>
        <v>1665262000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Deavila Martinez</dc:creator>
  <cp:lastModifiedBy>Julio Cesar Deavila Martinez</cp:lastModifiedBy>
  <dcterms:created xsi:type="dcterms:W3CDTF">2026-09-22T20:09:15Z</dcterms:created>
  <dcterms:modified xsi:type="dcterms:W3CDTF">2026-09-22T21:15:56Z</dcterms:modified>
</cp:coreProperties>
</file>