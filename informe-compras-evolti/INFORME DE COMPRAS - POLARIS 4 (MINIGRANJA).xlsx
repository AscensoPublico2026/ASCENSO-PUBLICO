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ategoría" sheetId="2" state="visible" r:id="rId2"/>
    <sheet name="Por tipo de ítem" sheetId="3" state="visible" r:id="rId3"/>
    <sheet name="Por proveedor" sheetId="4" state="visible" r:id="rId4"/>
    <sheet name="Por estado" sheetId="5" state="visible" r:id="rId5"/>
    <sheet name="Detalle" sheetId="6" state="visible" r:id="rId6"/>
  </sheets>
  <definedNames>
    <definedName name="_xlnm._FilterDatabase" localSheetId="5" hidden="1">'Detalle'!$A$1:$T$326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##"/>
    <numFmt numFmtId="167" formatCode="#,##0 &quot;COP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C9A227"/>
      <sz val="13"/>
    </font>
    <font>
      <i val="1"/>
      <color rgb="005A6472"/>
      <sz val="10"/>
    </font>
    <font>
      <color rgb="005A6472"/>
      <sz val="9"/>
    </font>
    <font>
      <b val="1"/>
      <color rgb="000B1F3A"/>
      <sz val="12"/>
    </font>
    <font>
      <b val="1"/>
      <color rgb="000B1F3A"/>
      <sz val="11"/>
    </font>
    <font>
      <color rgb="000B1F3A"/>
      <sz val="11"/>
    </font>
    <font>
      <b val="1"/>
      <color rgb="000B1F3A"/>
    </font>
    <font>
      <b val="1"/>
      <color rgb="00FFFFFF"/>
      <sz val="14"/>
    </font>
    <font>
      <i val="1"/>
      <color rgb="005A6472"/>
      <sz val="9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13345C"/>
      </patternFill>
    </fill>
    <fill>
      <patternFill patternType="solid">
        <fgColor rgb="00FFFFFF"/>
      </patternFill>
    </fill>
    <fill>
      <patternFill patternType="solid">
        <fgColor rgb="00F2F4F7"/>
      </patternFill>
    </fill>
    <fill>
      <patternFill patternType="solid">
        <fgColor rgb="000B1F3A"/>
      </patternFill>
    </fill>
    <fill>
      <patternFill patternType="solid">
        <fgColor rgb="00F3ECCF"/>
      </patternFill>
    </fill>
    <fill>
      <patternFill patternType="solid">
        <fgColor rgb="00C9A227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167" fontId="6" fillId="6" borderId="1" applyAlignment="1" pivotButton="0" quotePrefix="0" xfId="0">
      <alignment horizontal="right"/>
    </xf>
    <xf numFmtId="0" fontId="7" fillId="7" borderId="1" pivotButton="0" quotePrefix="0" xfId="0"/>
    <xf numFmtId="0" fontId="0" fillId="7" borderId="1" pivotButton="0" quotePrefix="0" xfId="0"/>
    <xf numFmtId="167" fontId="6" fillId="7" borderId="1" applyAlignment="1" pivotButton="0" quotePrefix="0" xfId="0">
      <alignment horizontal="right"/>
    </xf>
    <xf numFmtId="0" fontId="8" fillId="0" borderId="1" pivotButton="0" quotePrefix="0" xfId="0"/>
    <xf numFmtId="0" fontId="0" fillId="0" borderId="1" pivotButton="0" quotePrefix="0" xfId="0"/>
    <xf numFmtId="3" fontId="9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7" fontId="0" fillId="3" borderId="1" applyAlignment="1" pivotButton="0" quotePrefix="0" xfId="0">
      <alignment horizontal="right"/>
    </xf>
    <xf numFmtId="0" fontId="0" fillId="4" borderId="1" pivotButton="0" quotePrefix="0" xfId="0"/>
    <xf numFmtId="167" fontId="0" fillId="4" borderId="1" applyAlignment="1" pivotButton="0" quotePrefix="0" xfId="0">
      <alignment horizontal="right"/>
    </xf>
    <xf numFmtId="0" fontId="9" fillId="6" borderId="1" pivotButton="0" quotePrefix="0" xfId="0"/>
    <xf numFmtId="167" fontId="9" fillId="6" borderId="1" applyAlignment="1" pivotButton="0" quotePrefix="0" xfId="0">
      <alignment horizontal="right"/>
    </xf>
    <xf numFmtId="0" fontId="10" fillId="5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168" fontId="9" fillId="6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indent="1"/>
    </xf>
    <xf numFmtId="167" fontId="0" fillId="8" borderId="1" applyAlignment="1" pivotButton="0" quotePrefix="0" xfId="0">
      <alignment horizontal="right"/>
    </xf>
    <xf numFmtId="168" fontId="0" fillId="8" borderId="1" applyAlignment="1" pivotButton="0" quotePrefix="0" xfId="0">
      <alignment horizontal="center"/>
    </xf>
    <xf numFmtId="0" fontId="9" fillId="7" borderId="1" pivotButton="0" quotePrefix="0" xfId="0"/>
    <xf numFmtId="167" fontId="9" fillId="7" borderId="1" applyAlignment="1" pivotButton="0" quotePrefix="0" xfId="0">
      <alignment horizontal="right"/>
    </xf>
    <xf numFmtId="168" fontId="9" fillId="7" borderId="1" applyAlignment="1" pivotButton="0" quotePrefix="0" xfId="0">
      <alignment horizontal="center"/>
    </xf>
    <xf numFmtId="166" fontId="0" fillId="3" borderId="1" applyAlignment="1" pivotButton="0" quotePrefix="0" xfId="0">
      <alignment horizontal="right"/>
    </xf>
    <xf numFmtId="168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center"/>
    </xf>
    <xf numFmtId="166" fontId="9" fillId="7" borderId="1" applyAlignment="1" pivotButton="0" quotePrefix="0" xfId="0">
      <alignment horizontal="right"/>
    </xf>
    <xf numFmtId="166" fontId="9" fillId="6" borderId="1" applyAlignment="1" pivotButton="0" quotePrefix="0" xfId="0">
      <alignment horizontal="right"/>
    </xf>
    <xf numFmtId="0" fontId="0" fillId="8" borderId="1" applyAlignment="1" pivotButton="0" quotePrefix="0" xfId="0">
      <alignment indent="1"/>
    </xf>
    <xf numFmtId="166" fontId="0" fillId="8" borderId="1" applyAlignment="1" pivotButton="0" quotePrefix="0" xfId="0">
      <alignment horizontal="right"/>
    </xf>
    <xf numFmtId="0" fontId="7" fillId="0" borderId="0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grupo (valor sin IVA)</a:t>
            </a:r>
          </a:p>
        </rich>
      </tx>
    </title>
    <plotArea>
      <pieChart>
        <varyColors val="1"/>
        <ser>
          <idx val="0"/>
          <order val="0"/>
          <tx>
            <strRef>
              <f>'Por categoría'!J5</f>
            </strRef>
          </tx>
          <spPr>
            <a:ln>
              <a:prstDash val="solid"/>
            </a:ln>
          </spPr>
          <cat>
            <numRef>
              <f>'Por categoría'!$I$6:$I$20</f>
            </numRef>
          </cat>
          <val>
            <numRef>
              <f>'Por categoría'!$J$6:$J$20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tipo de ítem (valor sin IVA)</a:t>
            </a:r>
          </a:p>
        </rich>
      </tx>
    </title>
    <plotArea>
      <pieChart>
        <varyColors val="1"/>
        <ser>
          <idx val="0"/>
          <order val="0"/>
          <tx>
            <strRef>
              <f>'Por tipo de ítem'!D6</f>
            </strRef>
          </tx>
          <spPr>
            <a:ln>
              <a:prstDash val="solid"/>
            </a:ln>
          </spPr>
          <cat>
            <numRef>
              <f>'Por tipo de ítem'!$B$7:$B$32</f>
            </numRef>
          </cat>
          <val>
            <numRef>
              <f>'Por tipo de ítem'!$D$7:$D$32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proveedores (valor sin IVA)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proveedor'!C5</f>
            </strRef>
          </tx>
          <spPr>
            <a:ln>
              <a:prstDash val="solid"/>
            </a:ln>
          </spPr>
          <cat>
            <numRef>
              <f>'Por proveedor'!$B$6:$B$15</f>
            </numRef>
          </cat>
          <val>
            <numRef>
              <f>'Por proveedor'!$C$6:$C$15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52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2">
      <c r="B2" s="1" t="inlineStr">
        <is>
          <t>EVOLTI  ·  INFORME DE COMPRAS</t>
        </is>
      </c>
    </row>
    <row r="3">
      <c r="B3" s="2" t="inlineStr">
        <is>
          <t>PROYECTO POLARIS 4  —  MINIGRANJAS</t>
        </is>
      </c>
    </row>
    <row r="4">
      <c r="B4" s="3" t="inlineStr">
        <is>
          <t>Tipo de proyecto: Mini Granjas · Exportación de órdenes de compra</t>
        </is>
      </c>
    </row>
    <row r="5">
      <c r="B5" s="4" t="inlineStr">
        <is>
          <t>Periodo: 2025-10-01 a 2026-08-25   ·   Generado: 2026-09-21   ·   Moneda: COP   ·   Cifras calculadas con fórmulas sobre la hoja Detalle</t>
        </is>
      </c>
    </row>
    <row r="7">
      <c r="B7" s="5" t="inlineStr">
        <is>
          <t>TOTALES DEL PROYECTO</t>
        </is>
      </c>
    </row>
    <row r="8">
      <c r="B8" s="6" t="inlineStr">
        <is>
          <t>VALOR TOTAL (sin IVA)</t>
        </is>
      </c>
      <c r="C8" s="7" t="n"/>
      <c r="D8" s="8">
        <f>SUM(Detalle!$K$2:$K$326)</f>
        <v/>
      </c>
    </row>
    <row r="9">
      <c r="B9" s="6" t="inlineStr">
        <is>
          <t>IVA</t>
        </is>
      </c>
      <c r="C9" s="7" t="n"/>
      <c r="D9" s="8">
        <f>SUM(Detalle!$M$2:$M$326)</f>
        <v/>
      </c>
    </row>
    <row r="10">
      <c r="B10" s="9" t="inlineStr">
        <is>
          <t>TOTAL CON IVA</t>
        </is>
      </c>
      <c r="C10" s="10" t="n"/>
      <c r="D10" s="11">
        <f>SUM(Detalle!$K$2:$K$326)+SUM(Detalle!$M$2:$M$326)</f>
        <v/>
      </c>
    </row>
    <row r="12">
      <c r="B12" s="5" t="inlineStr">
        <is>
          <t>INDICADORES</t>
        </is>
      </c>
    </row>
    <row r="13">
      <c r="B13" s="12" t="inlineStr">
        <is>
          <t>Órdenes de compra (No OC únicas)</t>
        </is>
      </c>
      <c r="C13" s="13" t="n"/>
      <c r="D13" s="14" t="n">
        <v>106</v>
      </c>
    </row>
    <row r="14">
      <c r="B14" s="12" t="inlineStr">
        <is>
          <t>Líneas de ítem / compras</t>
        </is>
      </c>
      <c r="C14" s="13" t="n"/>
      <c r="D14" s="14">
        <f>COUNTA(Detalle!$K$2:$K$326)</f>
        <v/>
      </c>
    </row>
    <row r="15">
      <c r="B15" s="12" t="inlineStr">
        <is>
          <t>Proveedores distintos</t>
        </is>
      </c>
      <c r="C15" s="13" t="n"/>
      <c r="D15" s="14" t="n">
        <v>33</v>
      </c>
    </row>
    <row r="16">
      <c r="B16" s="12" t="inlineStr">
        <is>
          <t>Categorías (Grupos)</t>
        </is>
      </c>
      <c r="C16" s="13" t="n"/>
      <c r="D16" s="14" t="n">
        <v>15</v>
      </c>
    </row>
    <row r="18">
      <c r="B18" s="5" t="inlineStr">
        <is>
          <t>GASTO DE OBRA vs ADMINISTRATIVO</t>
        </is>
      </c>
    </row>
    <row r="19">
      <c r="B19" s="15" t="inlineStr">
        <is>
          <t>Concepto</t>
        </is>
      </c>
      <c r="C19" s="15" t="inlineStr">
        <is>
          <t>Valor sin IVA</t>
        </is>
      </c>
      <c r="D19" s="15" t="inlineStr">
        <is>
          <t>IVA</t>
        </is>
      </c>
      <c r="E19" s="15" t="inlineStr">
        <is>
          <t>Total con IVA</t>
        </is>
      </c>
    </row>
    <row r="20">
      <c r="B20" s="16" t="inlineStr">
        <is>
          <t>Gasto de obra</t>
        </is>
      </c>
      <c r="C20" s="17">
        <f>SUMIFS(Detalle!$K$2:$K$326,Detalle!$R$2:$R$326,"&lt;&gt;ADMINISTRATIVO")</f>
        <v/>
      </c>
      <c r="D20" s="17">
        <f>SUMIFS(Detalle!$M$2:$M$326,Detalle!$R$2:$R$326,"&lt;&gt;ADMINISTRATIVO")</f>
        <v/>
      </c>
      <c r="E20" s="17">
        <f>C20+D20</f>
        <v/>
      </c>
    </row>
    <row r="21">
      <c r="B21" s="18" t="inlineStr">
        <is>
          <t>Gasto administrativo</t>
        </is>
      </c>
      <c r="C21" s="19">
        <f>SUMIFS(Detalle!$K$2:$K$326,Detalle!$R$2:$R$326,"ADMINISTRATIVO")</f>
        <v/>
      </c>
      <c r="D21" s="19">
        <f>SUMIFS(Detalle!$M$2:$M$326,Detalle!$R$2:$R$326,"ADMINISTRATIVO")</f>
        <v/>
      </c>
      <c r="E21" s="19">
        <f>C21+D21</f>
        <v/>
      </c>
    </row>
    <row r="22">
      <c r="B22" s="20" t="inlineStr">
        <is>
          <t>TOTAL</t>
        </is>
      </c>
      <c r="C22" s="21">
        <f>SUM(C20:C21)</f>
        <v/>
      </c>
      <c r="D22" s="21">
        <f>SUM(D20:D21)</f>
        <v/>
      </c>
      <c r="E22" s="21">
        <f>C22+D22</f>
        <v/>
      </c>
    </row>
  </sheetData>
  <mergeCells count="4">
    <mergeCell ref="B5:E5"/>
    <mergeCell ref="B3:E3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4" customWidth="1" min="3" max="3"/>
    <col width="18" customWidth="1" min="4" max="4"/>
    <col width="16" customWidth="1" min="5" max="5"/>
    <col width="18" customWidth="1" min="6" max="6"/>
    <col width="11" customWidth="1" min="7" max="7"/>
    <col hidden="1" width="13" customWidth="1" min="9" max="9"/>
    <col hidden="1" width="13" customWidth="1" min="10" max="10"/>
  </cols>
  <sheetData>
    <row r="2">
      <c r="B2" s="22" t="inlineStr">
        <is>
          <t>GASTO POR CATEGORÍA (GRUPO Y SUBGRUPO)</t>
        </is>
      </c>
    </row>
    <row r="3">
      <c r="B3" s="23" t="inlineStr">
        <is>
          <t>Cada grupo se abre en sus subgrupos. Los valores son fórmulas SUMAR.SI.CONJUNTO sobre la hoja Detalle.</t>
        </is>
      </c>
    </row>
    <row r="5">
      <c r="B5" s="15" t="inlineStr">
        <is>
          <t>Grupo</t>
        </is>
      </c>
      <c r="C5" s="15" t="inlineStr">
        <is>
          <t>Subgrupo</t>
        </is>
      </c>
      <c r="D5" s="15" t="inlineStr">
        <is>
          <t>Valor sin IVA</t>
        </is>
      </c>
      <c r="E5" s="15" t="inlineStr">
        <is>
          <t>IVA</t>
        </is>
      </c>
      <c r="F5" s="15" t="inlineStr">
        <is>
          <t>Total con IVA</t>
        </is>
      </c>
      <c r="G5" s="15" t="inlineStr">
        <is>
          <t>% del total</t>
        </is>
      </c>
      <c r="I5" s="24" t="inlineStr">
        <is>
          <t>_grupo</t>
        </is>
      </c>
      <c r="J5" s="24" t="inlineStr">
        <is>
          <t>_valor</t>
        </is>
      </c>
    </row>
    <row r="6">
      <c r="B6" s="20" t="inlineStr">
        <is>
          <t>Servicio</t>
        </is>
      </c>
      <c r="C6" s="7" t="n"/>
      <c r="D6" s="21">
        <f>SUMIFS(Detalle!$K$2:$K$326,Detalle!$F$2:$F$326,$B6)</f>
        <v/>
      </c>
      <c r="E6" s="21">
        <f>SUMIFS(Detalle!$M$2:$M$326,Detalle!$F$2:$F$326,$B6)</f>
        <v/>
      </c>
      <c r="F6" s="21">
        <f>D6+E6</f>
        <v/>
      </c>
      <c r="G6" s="25">
        <f>IF(SUM(Detalle!$K$2:$K$326)=0,0,D6/SUM(Detalle!$K$2:$K$326))</f>
        <v/>
      </c>
      <c r="I6">
        <f>B6</f>
        <v/>
      </c>
      <c r="J6">
        <f>D6</f>
        <v/>
      </c>
    </row>
    <row r="7">
      <c r="B7" s="26" t="n"/>
      <c r="C7" s="27" t="inlineStr">
        <is>
          <t>Cerramiento Perimetral</t>
        </is>
      </c>
      <c r="D7" s="28">
        <f>SUMIFS(Detalle!$K$2:$K$326,Detalle!$F$2:$F$326,$B6,Detalle!$G$2:$G$326,$C7)</f>
        <v/>
      </c>
      <c r="E7" s="28">
        <f>SUMIFS(Detalle!$M$2:$M$326,Detalle!$F$2:$F$326,$B6,Detalle!$G$2:$G$326,$C7)</f>
        <v/>
      </c>
      <c r="F7" s="28">
        <f>D7+E7</f>
        <v/>
      </c>
      <c r="G7" s="29">
        <f>IF(SUM(Detalle!$K$2:$K$326)=0,0,D7/SUM(Detalle!$K$2:$K$326))</f>
        <v/>
      </c>
      <c r="I7">
        <f>B18</f>
        <v/>
      </c>
      <c r="J7">
        <f>D18</f>
        <v/>
      </c>
    </row>
    <row r="8">
      <c r="B8" s="26" t="n"/>
      <c r="C8" s="27" t="inlineStr">
        <is>
          <t>Preparativos Previos Inicio De Obras</t>
        </is>
      </c>
      <c r="D8" s="28">
        <f>SUMIFS(Detalle!$K$2:$K$326,Detalle!$F$2:$F$326,$B6,Detalle!$G$2:$G$326,$C8)</f>
        <v/>
      </c>
      <c r="E8" s="28">
        <f>SUMIFS(Detalle!$M$2:$M$326,Detalle!$F$2:$F$326,$B6,Detalle!$G$2:$G$326,$C8)</f>
        <v/>
      </c>
      <c r="F8" s="28">
        <f>D8+E8</f>
        <v/>
      </c>
      <c r="G8" s="29">
        <f>IF(SUM(Detalle!$K$2:$K$326)=0,0,D8/SUM(Detalle!$K$2:$K$326))</f>
        <v/>
      </c>
      <c r="I8">
        <f>B20</f>
        <v/>
      </c>
      <c r="J8">
        <f>D20</f>
        <v/>
      </c>
    </row>
    <row r="9">
      <c r="B9" s="26" t="n"/>
      <c r="C9" s="27" t="inlineStr">
        <is>
          <t>Set (Electrico)Servicio</t>
        </is>
      </c>
      <c r="D9" s="28">
        <f>SUMIFS(Detalle!$K$2:$K$326,Detalle!$F$2:$F$326,$B6,Detalle!$G$2:$G$326,$C9)</f>
        <v/>
      </c>
      <c r="E9" s="28">
        <f>SUMIFS(Detalle!$M$2:$M$326,Detalle!$F$2:$F$326,$B6,Detalle!$G$2:$G$326,$C9)</f>
        <v/>
      </c>
      <c r="F9" s="28">
        <f>D9+E9</f>
        <v/>
      </c>
      <c r="G9" s="29">
        <f>IF(SUM(Detalle!$K$2:$K$326)=0,0,D9/SUM(Detalle!$K$2:$K$326))</f>
        <v/>
      </c>
      <c r="I9">
        <f>B23</f>
        <v/>
      </c>
      <c r="J9">
        <f>D23</f>
        <v/>
      </c>
    </row>
    <row r="10">
      <c r="B10" s="26" t="n"/>
      <c r="C10" s="27" t="inlineStr">
        <is>
          <t>Logística Viáticos</t>
        </is>
      </c>
      <c r="D10" s="28">
        <f>SUMIFS(Detalle!$K$2:$K$326,Detalle!$F$2:$F$326,$B6,Detalle!$G$2:$G$326,$C10)</f>
        <v/>
      </c>
      <c r="E10" s="28">
        <f>SUMIFS(Detalle!$M$2:$M$326,Detalle!$F$2:$F$326,$B6,Detalle!$G$2:$G$326,$C10)</f>
        <v/>
      </c>
      <c r="F10" s="28">
        <f>D10+E10</f>
        <v/>
      </c>
      <c r="G10" s="29">
        <f>IF(SUM(Detalle!$K$2:$K$326)=0,0,D10/SUM(Detalle!$K$2:$K$326))</f>
        <v/>
      </c>
      <c r="I10">
        <f>B25</f>
        <v/>
      </c>
      <c r="J10">
        <f>D25</f>
        <v/>
      </c>
    </row>
    <row r="11">
      <c r="B11" s="26" t="n"/>
      <c r="C11" s="27" t="inlineStr">
        <is>
          <t>Set (Civil) Servicio</t>
        </is>
      </c>
      <c r="D11" s="28">
        <f>SUMIFS(Detalle!$K$2:$K$326,Detalle!$F$2:$F$326,$B6,Detalle!$G$2:$G$326,$C11)</f>
        <v/>
      </c>
      <c r="E11" s="28">
        <f>SUMIFS(Detalle!$M$2:$M$326,Detalle!$F$2:$F$326,$B6,Detalle!$G$2:$G$326,$C11)</f>
        <v/>
      </c>
      <c r="F11" s="28">
        <f>D11+E11</f>
        <v/>
      </c>
      <c r="G11" s="29">
        <f>IF(SUM(Detalle!$K$2:$K$326)=0,0,D11/SUM(Detalle!$K$2:$K$326))</f>
        <v/>
      </c>
      <c r="I11">
        <f>B27</f>
        <v/>
      </c>
      <c r="J11">
        <f>D27</f>
        <v/>
      </c>
    </row>
    <row r="12">
      <c r="B12" s="26" t="n"/>
      <c r="C12" s="27" t="inlineStr">
        <is>
          <t>Descargues</t>
        </is>
      </c>
      <c r="D12" s="28">
        <f>SUMIFS(Detalle!$K$2:$K$326,Detalle!$F$2:$F$326,$B6,Detalle!$G$2:$G$326,$C12)</f>
        <v/>
      </c>
      <c r="E12" s="28">
        <f>SUMIFS(Detalle!$M$2:$M$326,Detalle!$F$2:$F$326,$B6,Detalle!$G$2:$G$326,$C12)</f>
        <v/>
      </c>
      <c r="F12" s="28">
        <f>D12+E12</f>
        <v/>
      </c>
      <c r="G12" s="29">
        <f>IF(SUM(Detalle!$K$2:$K$326)=0,0,D12/SUM(Detalle!$K$2:$K$326))</f>
        <v/>
      </c>
      <c r="I12">
        <f>B30</f>
        <v/>
      </c>
      <c r="J12">
        <f>D30</f>
        <v/>
      </c>
    </row>
    <row r="13">
      <c r="B13" s="26" t="n"/>
      <c r="C13" s="27" t="inlineStr">
        <is>
          <t>Baños Portátiles</t>
        </is>
      </c>
      <c r="D13" s="28">
        <f>SUMIFS(Detalle!$K$2:$K$326,Detalle!$F$2:$F$326,$B6,Detalle!$G$2:$G$326,$C13)</f>
        <v/>
      </c>
      <c r="E13" s="28">
        <f>SUMIFS(Detalle!$M$2:$M$326,Detalle!$F$2:$F$326,$B6,Detalle!$G$2:$G$326,$C13)</f>
        <v/>
      </c>
      <c r="F13" s="28">
        <f>D13+E13</f>
        <v/>
      </c>
      <c r="G13" s="29">
        <f>IF(SUM(Detalle!$K$2:$K$326)=0,0,D13/SUM(Detalle!$K$2:$K$326))</f>
        <v/>
      </c>
      <c r="I13">
        <f>B33</f>
        <v/>
      </c>
      <c r="J13">
        <f>D33</f>
        <v/>
      </c>
    </row>
    <row r="14">
      <c r="B14" s="26" t="n"/>
      <c r="C14" s="27" t="inlineStr">
        <is>
          <t>Upme</t>
        </is>
      </c>
      <c r="D14" s="28">
        <f>SUMIFS(Detalle!$K$2:$K$326,Detalle!$F$2:$F$326,$B6,Detalle!$G$2:$G$326,$C14)</f>
        <v/>
      </c>
      <c r="E14" s="28">
        <f>SUMIFS(Detalle!$M$2:$M$326,Detalle!$F$2:$F$326,$B6,Detalle!$G$2:$G$326,$C14)</f>
        <v/>
      </c>
      <c r="F14" s="28">
        <f>D14+E14</f>
        <v/>
      </c>
      <c r="G14" s="29">
        <f>IF(SUM(Detalle!$K$2:$K$326)=0,0,D14/SUM(Detalle!$K$2:$K$326))</f>
        <v/>
      </c>
      <c r="I14">
        <f>B36</f>
        <v/>
      </c>
      <c r="J14">
        <f>D36</f>
        <v/>
      </c>
    </row>
    <row r="15">
      <c r="B15" s="26" t="n"/>
      <c r="C15" s="27" t="inlineStr">
        <is>
          <t>Transportes</t>
        </is>
      </c>
      <c r="D15" s="28">
        <f>SUMIFS(Detalle!$K$2:$K$326,Detalle!$F$2:$F$326,$B6,Detalle!$G$2:$G$326,$C15)</f>
        <v/>
      </c>
      <c r="E15" s="28">
        <f>SUMIFS(Detalle!$M$2:$M$326,Detalle!$F$2:$F$326,$B6,Detalle!$G$2:$G$326,$C15)</f>
        <v/>
      </c>
      <c r="F15" s="28">
        <f>D15+E15</f>
        <v/>
      </c>
      <c r="G15" s="29">
        <f>IF(SUM(Detalle!$K$2:$K$326)=0,0,D15/SUM(Detalle!$K$2:$K$326))</f>
        <v/>
      </c>
      <c r="I15">
        <f>B38</f>
        <v/>
      </c>
      <c r="J15">
        <f>D38</f>
        <v/>
      </c>
    </row>
    <row r="16">
      <c r="B16" s="26" t="n"/>
      <c r="C16" s="27" t="inlineStr">
        <is>
          <t>Retie</t>
        </is>
      </c>
      <c r="D16" s="28">
        <f>SUMIFS(Detalle!$K$2:$K$326,Detalle!$F$2:$F$326,$B6,Detalle!$G$2:$G$326,$C16)</f>
        <v/>
      </c>
      <c r="E16" s="28">
        <f>SUMIFS(Detalle!$M$2:$M$326,Detalle!$F$2:$F$326,$B6,Detalle!$G$2:$G$326,$C16)</f>
        <v/>
      </c>
      <c r="F16" s="28">
        <f>D16+E16</f>
        <v/>
      </c>
      <c r="G16" s="29">
        <f>IF(SUM(Detalle!$K$2:$K$326)=0,0,D16/SUM(Detalle!$K$2:$K$326))</f>
        <v/>
      </c>
      <c r="I16">
        <f>B41</f>
        <v/>
      </c>
      <c r="J16">
        <f>D41</f>
        <v/>
      </c>
    </row>
    <row r="17">
      <c r="B17" s="26" t="n"/>
      <c r="C17" s="27" t="inlineStr">
        <is>
          <t>(Sin Subgrupo)</t>
        </is>
      </c>
      <c r="D17" s="28">
        <f>SUMIFS(Detalle!$K$2:$K$326,Detalle!$F$2:$F$326,$B6,Detalle!$G$2:$G$326,$C17)</f>
        <v/>
      </c>
      <c r="E17" s="28">
        <f>SUMIFS(Detalle!$M$2:$M$326,Detalle!$F$2:$F$326,$B6,Detalle!$G$2:$G$326,$C17)</f>
        <v/>
      </c>
      <c r="F17" s="28">
        <f>D17+E17</f>
        <v/>
      </c>
      <c r="G17" s="29">
        <f>IF(SUM(Detalle!$K$2:$K$326)=0,0,D17/SUM(Detalle!$K$2:$K$326))</f>
        <v/>
      </c>
      <c r="I17">
        <f>B43</f>
        <v/>
      </c>
      <c r="J17">
        <f>D43</f>
        <v/>
      </c>
    </row>
    <row r="18">
      <c r="B18" s="20" t="inlineStr">
        <is>
          <t>C. Estructura Solar</t>
        </is>
      </c>
      <c r="C18" s="7" t="n"/>
      <c r="D18" s="21">
        <f>SUMIFS(Detalle!$K$2:$K$326,Detalle!$F$2:$F$326,$B18)</f>
        <v/>
      </c>
      <c r="E18" s="21">
        <f>SUMIFS(Detalle!$M$2:$M$326,Detalle!$F$2:$F$326,$B18)</f>
        <v/>
      </c>
      <c r="F18" s="21">
        <f>D18+E18</f>
        <v/>
      </c>
      <c r="G18" s="25">
        <f>IF(SUM(Detalle!$K$2:$K$326)=0,0,D18/SUM(Detalle!$K$2:$K$326))</f>
        <v/>
      </c>
      <c r="I18">
        <f>B45</f>
        <v/>
      </c>
      <c r="J18">
        <f>D45</f>
        <v/>
      </c>
    </row>
    <row r="19">
      <c r="B19" s="26" t="n"/>
      <c r="C19" s="27" t="inlineStr">
        <is>
          <t>(Sin Subgrupo)</t>
        </is>
      </c>
      <c r="D19" s="28">
        <f>SUMIFS(Detalle!$K$2:$K$326,Detalle!$F$2:$F$326,$B18,Detalle!$G$2:$G$326,$C19)</f>
        <v/>
      </c>
      <c r="E19" s="28">
        <f>SUMIFS(Detalle!$M$2:$M$326,Detalle!$F$2:$F$326,$B18,Detalle!$G$2:$G$326,$C19)</f>
        <v/>
      </c>
      <c r="F19" s="28">
        <f>D19+E19</f>
        <v/>
      </c>
      <c r="G19" s="29">
        <f>IF(SUM(Detalle!$K$2:$K$326)=0,0,D19/SUM(Detalle!$K$2:$K$326))</f>
        <v/>
      </c>
      <c r="I19">
        <f>B47</f>
        <v/>
      </c>
      <c r="J19">
        <f>D47</f>
        <v/>
      </c>
    </row>
    <row r="20">
      <c r="B20" s="20" t="inlineStr">
        <is>
          <t>Set (Electrico) Suministro</t>
        </is>
      </c>
      <c r="C20" s="7" t="n"/>
      <c r="D20" s="21">
        <f>SUMIFS(Detalle!$K$2:$K$326,Detalle!$F$2:$F$326,$B20)</f>
        <v/>
      </c>
      <c r="E20" s="21">
        <f>SUMIFS(Detalle!$M$2:$M$326,Detalle!$F$2:$F$326,$B20)</f>
        <v/>
      </c>
      <c r="F20" s="21">
        <f>D20+E20</f>
        <v/>
      </c>
      <c r="G20" s="25">
        <f>IF(SUM(Detalle!$K$2:$K$326)=0,0,D20/SUM(Detalle!$K$2:$K$326))</f>
        <v/>
      </c>
      <c r="I20">
        <f>B49</f>
        <v/>
      </c>
      <c r="J20">
        <f>D49</f>
        <v/>
      </c>
    </row>
    <row r="21">
      <c r="B21" s="26" t="n"/>
      <c r="C21" s="27" t="inlineStr">
        <is>
          <t>(Sin Subgrupo)</t>
        </is>
      </c>
      <c r="D21" s="28">
        <f>SUMIFS(Detalle!$K$2:$K$326,Detalle!$F$2:$F$326,$B20,Detalle!$G$2:$G$326,$C21)</f>
        <v/>
      </c>
      <c r="E21" s="28">
        <f>SUMIFS(Detalle!$M$2:$M$326,Detalle!$F$2:$F$326,$B20,Detalle!$G$2:$G$326,$C21)</f>
        <v/>
      </c>
      <c r="F21" s="28">
        <f>D21+E21</f>
        <v/>
      </c>
      <c r="G21" s="29">
        <f>IF(SUM(Detalle!$K$2:$K$326)=0,0,D21/SUM(Detalle!$K$2:$K$326))</f>
        <v/>
      </c>
    </row>
    <row r="22">
      <c r="B22" s="26" t="n"/>
      <c r="C22" s="27" t="inlineStr">
        <is>
          <t>Set (Electrico)Servicio</t>
        </is>
      </c>
      <c r="D22" s="28">
        <f>SUMIFS(Detalle!$K$2:$K$326,Detalle!$F$2:$F$326,$B20,Detalle!$G$2:$G$326,$C22)</f>
        <v/>
      </c>
      <c r="E22" s="28">
        <f>SUMIFS(Detalle!$M$2:$M$326,Detalle!$F$2:$F$326,$B20,Detalle!$G$2:$G$326,$C22)</f>
        <v/>
      </c>
      <c r="F22" s="28">
        <f>D22+E22</f>
        <v/>
      </c>
      <c r="G22" s="29">
        <f>IF(SUM(Detalle!$K$2:$K$326)=0,0,D22/SUM(Detalle!$K$2:$K$326))</f>
        <v/>
      </c>
    </row>
    <row r="23">
      <c r="B23" s="20" t="inlineStr">
        <is>
          <t>C. Inversores</t>
        </is>
      </c>
      <c r="C23" s="7" t="n"/>
      <c r="D23" s="21">
        <f>SUMIFS(Detalle!$K$2:$K$326,Detalle!$F$2:$F$326,$B23)</f>
        <v/>
      </c>
      <c r="E23" s="21">
        <f>SUMIFS(Detalle!$M$2:$M$326,Detalle!$F$2:$F$326,$B23)</f>
        <v/>
      </c>
      <c r="F23" s="21">
        <f>D23+E23</f>
        <v/>
      </c>
      <c r="G23" s="25">
        <f>IF(SUM(Detalle!$K$2:$K$326)=0,0,D23/SUM(Detalle!$K$2:$K$326))</f>
        <v/>
      </c>
    </row>
    <row r="24">
      <c r="B24" s="26" t="n"/>
      <c r="C24" s="27" t="inlineStr">
        <is>
          <t>(Sin Subgrupo)</t>
        </is>
      </c>
      <c r="D24" s="28">
        <f>SUMIFS(Detalle!$K$2:$K$326,Detalle!$F$2:$F$326,$B23,Detalle!$G$2:$G$326,$C24)</f>
        <v/>
      </c>
      <c r="E24" s="28">
        <f>SUMIFS(Detalle!$M$2:$M$326,Detalle!$F$2:$F$326,$B23,Detalle!$G$2:$G$326,$C24)</f>
        <v/>
      </c>
      <c r="F24" s="28">
        <f>D24+E24</f>
        <v/>
      </c>
      <c r="G24" s="29">
        <f>IF(SUM(Detalle!$K$2:$K$326)=0,0,D24/SUM(Detalle!$K$2:$K$326))</f>
        <v/>
      </c>
    </row>
    <row r="25">
      <c r="B25" s="20" t="inlineStr">
        <is>
          <t>C. Material Micropilotaje</t>
        </is>
      </c>
      <c r="C25" s="7" t="n"/>
      <c r="D25" s="21">
        <f>SUMIFS(Detalle!$K$2:$K$326,Detalle!$F$2:$F$326,$B25)</f>
        <v/>
      </c>
      <c r="E25" s="21">
        <f>SUMIFS(Detalle!$M$2:$M$326,Detalle!$F$2:$F$326,$B25)</f>
        <v/>
      </c>
      <c r="F25" s="21">
        <f>D25+E25</f>
        <v/>
      </c>
      <c r="G25" s="25">
        <f>IF(SUM(Detalle!$K$2:$K$326)=0,0,D25/SUM(Detalle!$K$2:$K$326))</f>
        <v/>
      </c>
    </row>
    <row r="26">
      <c r="B26" s="26" t="n"/>
      <c r="C26" s="27" t="inlineStr">
        <is>
          <t>(Sin Subgrupo)</t>
        </is>
      </c>
      <c r="D26" s="28">
        <f>SUMIFS(Detalle!$K$2:$K$326,Detalle!$F$2:$F$326,$B25,Detalle!$G$2:$G$326,$C26)</f>
        <v/>
      </c>
      <c r="E26" s="28">
        <f>SUMIFS(Detalle!$M$2:$M$326,Detalle!$F$2:$F$326,$B25,Detalle!$G$2:$G$326,$C26)</f>
        <v/>
      </c>
      <c r="F26" s="28">
        <f>D26+E26</f>
        <v/>
      </c>
      <c r="G26" s="29">
        <f>IF(SUM(Detalle!$K$2:$K$326)=0,0,D26/SUM(Detalle!$K$2:$K$326))</f>
        <v/>
      </c>
    </row>
    <row r="27">
      <c r="B27" s="20" t="inlineStr">
        <is>
          <t>Set (Civil) Suministro</t>
        </is>
      </c>
      <c r="C27" s="7" t="n"/>
      <c r="D27" s="21">
        <f>SUMIFS(Detalle!$K$2:$K$326,Detalle!$F$2:$F$326,$B27)</f>
        <v/>
      </c>
      <c r="E27" s="21">
        <f>SUMIFS(Detalle!$M$2:$M$326,Detalle!$F$2:$F$326,$B27)</f>
        <v/>
      </c>
      <c r="F27" s="21">
        <f>D27+E27</f>
        <v/>
      </c>
      <c r="G27" s="25">
        <f>IF(SUM(Detalle!$K$2:$K$326)=0,0,D27/SUM(Detalle!$K$2:$K$326))</f>
        <v/>
      </c>
    </row>
    <row r="28">
      <c r="B28" s="26" t="n"/>
      <c r="C28" s="27" t="inlineStr">
        <is>
          <t>Set (Civil) Servicio</t>
        </is>
      </c>
      <c r="D28" s="28">
        <f>SUMIFS(Detalle!$K$2:$K$326,Detalle!$F$2:$F$326,$B27,Detalle!$G$2:$G$326,$C28)</f>
        <v/>
      </c>
      <c r="E28" s="28">
        <f>SUMIFS(Detalle!$M$2:$M$326,Detalle!$F$2:$F$326,$B27,Detalle!$G$2:$G$326,$C28)</f>
        <v/>
      </c>
      <c r="F28" s="28">
        <f>D28+E28</f>
        <v/>
      </c>
      <c r="G28" s="29">
        <f>IF(SUM(Detalle!$K$2:$K$326)=0,0,D28/SUM(Detalle!$K$2:$K$326))</f>
        <v/>
      </c>
    </row>
    <row r="29">
      <c r="B29" s="26" t="n"/>
      <c r="C29" s="27" t="inlineStr">
        <is>
          <t>(Sin Subgrupo)</t>
        </is>
      </c>
      <c r="D29" s="28">
        <f>SUMIFS(Detalle!$K$2:$K$326,Detalle!$F$2:$F$326,$B27,Detalle!$G$2:$G$326,$C29)</f>
        <v/>
      </c>
      <c r="E29" s="28">
        <f>SUMIFS(Detalle!$M$2:$M$326,Detalle!$F$2:$F$326,$B27,Detalle!$G$2:$G$326,$C29)</f>
        <v/>
      </c>
      <c r="F29" s="28">
        <f>D29+E29</f>
        <v/>
      </c>
      <c r="G29" s="29">
        <f>IF(SUM(Detalle!$K$2:$K$326)=0,0,D29/SUM(Detalle!$K$2:$K$326))</f>
        <v/>
      </c>
    </row>
    <row r="30">
      <c r="B30" s="20" t="inlineStr">
        <is>
          <t>Cajas De Paso</t>
        </is>
      </c>
      <c r="C30" s="7" t="n"/>
      <c r="D30" s="21">
        <f>SUMIFS(Detalle!$K$2:$K$326,Detalle!$F$2:$F$326,$B30)</f>
        <v/>
      </c>
      <c r="E30" s="21">
        <f>SUMIFS(Detalle!$M$2:$M$326,Detalle!$F$2:$F$326,$B30)</f>
        <v/>
      </c>
      <c r="F30" s="21">
        <f>D30+E30</f>
        <v/>
      </c>
      <c r="G30" s="25">
        <f>IF(SUM(Detalle!$K$2:$K$326)=0,0,D30/SUM(Detalle!$K$2:$K$326))</f>
        <v/>
      </c>
    </row>
    <row r="31">
      <c r="B31" s="26" t="n"/>
      <c r="C31" s="27" t="inlineStr">
        <is>
          <t>(Sin Subgrupo)</t>
        </is>
      </c>
      <c r="D31" s="28">
        <f>SUMIFS(Detalle!$K$2:$K$326,Detalle!$F$2:$F$326,$B30,Detalle!$G$2:$G$326,$C31)</f>
        <v/>
      </c>
      <c r="E31" s="28">
        <f>SUMIFS(Detalle!$M$2:$M$326,Detalle!$F$2:$F$326,$B30,Detalle!$G$2:$G$326,$C31)</f>
        <v/>
      </c>
      <c r="F31" s="28">
        <f>D31+E31</f>
        <v/>
      </c>
      <c r="G31" s="29">
        <f>IF(SUM(Detalle!$K$2:$K$326)=0,0,D31/SUM(Detalle!$K$2:$K$326))</f>
        <v/>
      </c>
    </row>
    <row r="32">
      <c r="B32" s="26" t="n"/>
      <c r="C32" s="27" t="inlineStr">
        <is>
          <t>Transportes</t>
        </is>
      </c>
      <c r="D32" s="28">
        <f>SUMIFS(Detalle!$K$2:$K$326,Detalle!$F$2:$F$326,$B30,Detalle!$G$2:$G$326,$C32)</f>
        <v/>
      </c>
      <c r="E32" s="28">
        <f>SUMIFS(Detalle!$M$2:$M$326,Detalle!$F$2:$F$326,$B30,Detalle!$G$2:$G$326,$C32)</f>
        <v/>
      </c>
      <c r="F32" s="28">
        <f>D32+E32</f>
        <v/>
      </c>
      <c r="G32" s="29">
        <f>IF(SUM(Detalle!$K$2:$K$326)=0,0,D32/SUM(Detalle!$K$2:$K$326))</f>
        <v/>
      </c>
    </row>
    <row r="33">
      <c r="B33" s="20" t="inlineStr">
        <is>
          <t>Montaje Eléctrico</t>
        </is>
      </c>
      <c r="C33" s="7" t="n"/>
      <c r="D33" s="21">
        <f>SUMIFS(Detalle!$K$2:$K$326,Detalle!$F$2:$F$326,$B33)</f>
        <v/>
      </c>
      <c r="E33" s="21">
        <f>SUMIFS(Detalle!$M$2:$M$326,Detalle!$F$2:$F$326,$B33)</f>
        <v/>
      </c>
      <c r="F33" s="21">
        <f>D33+E33</f>
        <v/>
      </c>
      <c r="G33" s="25">
        <f>IF(SUM(Detalle!$K$2:$K$326)=0,0,D33/SUM(Detalle!$K$2:$K$326))</f>
        <v/>
      </c>
    </row>
    <row r="34">
      <c r="B34" s="26" t="n"/>
      <c r="C34" s="27" t="inlineStr">
        <is>
          <t>Set (Electrico)Servicio</t>
        </is>
      </c>
      <c r="D34" s="28">
        <f>SUMIFS(Detalle!$K$2:$K$326,Detalle!$F$2:$F$326,$B33,Detalle!$G$2:$G$326,$C34)</f>
        <v/>
      </c>
      <c r="E34" s="28">
        <f>SUMIFS(Detalle!$M$2:$M$326,Detalle!$F$2:$F$326,$B33,Detalle!$G$2:$G$326,$C34)</f>
        <v/>
      </c>
      <c r="F34" s="28">
        <f>D34+E34</f>
        <v/>
      </c>
      <c r="G34" s="29">
        <f>IF(SUM(Detalle!$K$2:$K$326)=0,0,D34/SUM(Detalle!$K$2:$K$326))</f>
        <v/>
      </c>
    </row>
    <row r="35">
      <c r="B35" s="26" t="n"/>
      <c r="C35" s="27" t="inlineStr">
        <is>
          <t>(Sin Subgrupo)</t>
        </is>
      </c>
      <c r="D35" s="28">
        <f>SUMIFS(Detalle!$K$2:$K$326,Detalle!$F$2:$F$326,$B33,Detalle!$G$2:$G$326,$C35)</f>
        <v/>
      </c>
      <c r="E35" s="28">
        <f>SUMIFS(Detalle!$M$2:$M$326,Detalle!$F$2:$F$326,$B33,Detalle!$G$2:$G$326,$C35)</f>
        <v/>
      </c>
      <c r="F35" s="28">
        <f>D35+E35</f>
        <v/>
      </c>
      <c r="G35" s="29">
        <f>IF(SUM(Detalle!$K$2:$K$326)=0,0,D35/SUM(Detalle!$K$2:$K$326))</f>
        <v/>
      </c>
    </row>
    <row r="36">
      <c r="B36" s="20" t="inlineStr">
        <is>
          <t>Gastos Administrativos</t>
        </is>
      </c>
      <c r="C36" s="7" t="n"/>
      <c r="D36" s="21">
        <f>SUMIFS(Detalle!$K$2:$K$326,Detalle!$F$2:$F$326,$B36)</f>
        <v/>
      </c>
      <c r="E36" s="21">
        <f>SUMIFS(Detalle!$M$2:$M$326,Detalle!$F$2:$F$326,$B36)</f>
        <v/>
      </c>
      <c r="F36" s="21">
        <f>D36+E36</f>
        <v/>
      </c>
      <c r="G36" s="25">
        <f>IF(SUM(Detalle!$K$2:$K$326)=0,0,D36/SUM(Detalle!$K$2:$K$326))</f>
        <v/>
      </c>
    </row>
    <row r="37">
      <c r="B37" s="26" t="n"/>
      <c r="C37" s="27" t="inlineStr">
        <is>
          <t>Logística Viáticos</t>
        </is>
      </c>
      <c r="D37" s="28">
        <f>SUMIFS(Detalle!$K$2:$K$326,Detalle!$F$2:$F$326,$B36,Detalle!$G$2:$G$326,$C37)</f>
        <v/>
      </c>
      <c r="E37" s="28">
        <f>SUMIFS(Detalle!$M$2:$M$326,Detalle!$F$2:$F$326,$B36,Detalle!$G$2:$G$326,$C37)</f>
        <v/>
      </c>
      <c r="F37" s="28">
        <f>D37+E37</f>
        <v/>
      </c>
      <c r="G37" s="29">
        <f>IF(SUM(Detalle!$K$2:$K$326)=0,0,D37/SUM(Detalle!$K$2:$K$326))</f>
        <v/>
      </c>
    </row>
    <row r="38">
      <c r="B38" s="20" t="inlineStr">
        <is>
          <t>C. Canalizaciones</t>
        </is>
      </c>
      <c r="C38" s="7" t="n"/>
      <c r="D38" s="21">
        <f>SUMIFS(Detalle!$K$2:$K$326,Detalle!$F$2:$F$326,$B38)</f>
        <v/>
      </c>
      <c r="E38" s="21">
        <f>SUMIFS(Detalle!$M$2:$M$326,Detalle!$F$2:$F$326,$B38)</f>
        <v/>
      </c>
      <c r="F38" s="21">
        <f>D38+E38</f>
        <v/>
      </c>
      <c r="G38" s="25">
        <f>IF(SUM(Detalle!$K$2:$K$326)=0,0,D38/SUM(Detalle!$K$2:$K$326))</f>
        <v/>
      </c>
    </row>
    <row r="39">
      <c r="B39" s="26" t="n"/>
      <c r="C39" s="27" t="inlineStr">
        <is>
          <t>(Sin Subgrupo)</t>
        </is>
      </c>
      <c r="D39" s="28">
        <f>SUMIFS(Detalle!$K$2:$K$326,Detalle!$F$2:$F$326,$B38,Detalle!$G$2:$G$326,$C39)</f>
        <v/>
      </c>
      <c r="E39" s="28">
        <f>SUMIFS(Detalle!$M$2:$M$326,Detalle!$F$2:$F$326,$B38,Detalle!$G$2:$G$326,$C39)</f>
        <v/>
      </c>
      <c r="F39" s="28">
        <f>D39+E39</f>
        <v/>
      </c>
      <c r="G39" s="29">
        <f>IF(SUM(Detalle!$K$2:$K$326)=0,0,D39/SUM(Detalle!$K$2:$K$326))</f>
        <v/>
      </c>
    </row>
    <row r="40">
      <c r="B40" s="26" t="n"/>
      <c r="C40" s="27" t="inlineStr">
        <is>
          <t>Instalación De Tuberías Ac, Dc Y Tierra</t>
        </is>
      </c>
      <c r="D40" s="28">
        <f>SUMIFS(Detalle!$K$2:$K$326,Detalle!$F$2:$F$326,$B38,Detalle!$G$2:$G$326,$C40)</f>
        <v/>
      </c>
      <c r="E40" s="28">
        <f>SUMIFS(Detalle!$M$2:$M$326,Detalle!$F$2:$F$326,$B38,Detalle!$G$2:$G$326,$C40)</f>
        <v/>
      </c>
      <c r="F40" s="28">
        <f>D40+E40</f>
        <v/>
      </c>
      <c r="G40" s="29">
        <f>IF(SUM(Detalle!$K$2:$K$326)=0,0,D40/SUM(Detalle!$K$2:$K$326))</f>
        <v/>
      </c>
    </row>
    <row r="41">
      <c r="B41" s="20" t="inlineStr">
        <is>
          <t>Armado Mesas Fv</t>
        </is>
      </c>
      <c r="C41" s="7" t="n"/>
      <c r="D41" s="21">
        <f>SUMIFS(Detalle!$K$2:$K$326,Detalle!$F$2:$F$326,$B41)</f>
        <v/>
      </c>
      <c r="E41" s="21">
        <f>SUMIFS(Detalle!$M$2:$M$326,Detalle!$F$2:$F$326,$B41)</f>
        <v/>
      </c>
      <c r="F41" s="21">
        <f>D41+E41</f>
        <v/>
      </c>
      <c r="G41" s="25">
        <f>IF(SUM(Detalle!$K$2:$K$326)=0,0,D41/SUM(Detalle!$K$2:$K$326))</f>
        <v/>
      </c>
    </row>
    <row r="42">
      <c r="B42" s="26" t="n"/>
      <c r="C42" s="27" t="inlineStr">
        <is>
          <t>(Sin Subgrupo)</t>
        </is>
      </c>
      <c r="D42" s="28">
        <f>SUMIFS(Detalle!$K$2:$K$326,Detalle!$F$2:$F$326,$B41,Detalle!$G$2:$G$326,$C42)</f>
        <v/>
      </c>
      <c r="E42" s="28">
        <f>SUMIFS(Detalle!$M$2:$M$326,Detalle!$F$2:$F$326,$B41,Detalle!$G$2:$G$326,$C42)</f>
        <v/>
      </c>
      <c r="F42" s="28">
        <f>D42+E42</f>
        <v/>
      </c>
      <c r="G42" s="29">
        <f>IF(SUM(Detalle!$K$2:$K$326)=0,0,D42/SUM(Detalle!$K$2:$K$326))</f>
        <v/>
      </c>
    </row>
    <row r="43">
      <c r="B43" s="20" t="inlineStr">
        <is>
          <t>9-Legalización</t>
        </is>
      </c>
      <c r="C43" s="7" t="n"/>
      <c r="D43" s="21">
        <f>SUMIFS(Detalle!$K$2:$K$326,Detalle!$F$2:$F$326,$B43)</f>
        <v/>
      </c>
      <c r="E43" s="21">
        <f>SUMIFS(Detalle!$M$2:$M$326,Detalle!$F$2:$F$326,$B43)</f>
        <v/>
      </c>
      <c r="F43" s="21">
        <f>D43+E43</f>
        <v/>
      </c>
      <c r="G43" s="25">
        <f>IF(SUM(Detalle!$K$2:$K$326)=0,0,D43/SUM(Detalle!$K$2:$K$326))</f>
        <v/>
      </c>
    </row>
    <row r="44">
      <c r="B44" s="26" t="n"/>
      <c r="C44" s="27" t="inlineStr">
        <is>
          <t>9.1 -Retie Gd</t>
        </is>
      </c>
      <c r="D44" s="28">
        <f>SUMIFS(Detalle!$K$2:$K$326,Detalle!$F$2:$F$326,$B43,Detalle!$G$2:$G$326,$C44)</f>
        <v/>
      </c>
      <c r="E44" s="28">
        <f>SUMIFS(Detalle!$M$2:$M$326,Detalle!$F$2:$F$326,$B43,Detalle!$G$2:$G$326,$C44)</f>
        <v/>
      </c>
      <c r="F44" s="28">
        <f>D44+E44</f>
        <v/>
      </c>
      <c r="G44" s="29">
        <f>IF(SUM(Detalle!$K$2:$K$326)=0,0,D44/SUM(Detalle!$K$2:$K$326))</f>
        <v/>
      </c>
    </row>
    <row r="45">
      <c r="B45" s="20" t="inlineStr">
        <is>
          <t>C. Cableado Ac</t>
        </is>
      </c>
      <c r="C45" s="7" t="n"/>
      <c r="D45" s="21">
        <f>SUMIFS(Detalle!$K$2:$K$326,Detalle!$F$2:$F$326,$B45)</f>
        <v/>
      </c>
      <c r="E45" s="21">
        <f>SUMIFS(Detalle!$M$2:$M$326,Detalle!$F$2:$F$326,$B45)</f>
        <v/>
      </c>
      <c r="F45" s="21">
        <f>D45+E45</f>
        <v/>
      </c>
      <c r="G45" s="25">
        <f>IF(SUM(Detalle!$K$2:$K$326)=0,0,D45/SUM(Detalle!$K$2:$K$326))</f>
        <v/>
      </c>
    </row>
    <row r="46">
      <c r="B46" s="26" t="n"/>
      <c r="C46" s="27" t="inlineStr">
        <is>
          <t>(Sin Subgrupo)</t>
        </is>
      </c>
      <c r="D46" s="28">
        <f>SUMIFS(Detalle!$K$2:$K$326,Detalle!$F$2:$F$326,$B45,Detalle!$G$2:$G$326,$C46)</f>
        <v/>
      </c>
      <c r="E46" s="28">
        <f>SUMIFS(Detalle!$M$2:$M$326,Detalle!$F$2:$F$326,$B45,Detalle!$G$2:$G$326,$C46)</f>
        <v/>
      </c>
      <c r="F46" s="28">
        <f>D46+E46</f>
        <v/>
      </c>
      <c r="G46" s="29">
        <f>IF(SUM(Detalle!$K$2:$K$326)=0,0,D46/SUM(Detalle!$K$2:$K$326))</f>
        <v/>
      </c>
    </row>
    <row r="47">
      <c r="B47" s="20" t="inlineStr">
        <is>
          <t>C. Cableado Dc</t>
        </is>
      </c>
      <c r="C47" s="7" t="n"/>
      <c r="D47" s="21">
        <f>SUMIFS(Detalle!$K$2:$K$326,Detalle!$F$2:$F$326,$B47)</f>
        <v/>
      </c>
      <c r="E47" s="21">
        <f>SUMIFS(Detalle!$M$2:$M$326,Detalle!$F$2:$F$326,$B47)</f>
        <v/>
      </c>
      <c r="F47" s="21">
        <f>D47+E47</f>
        <v/>
      </c>
      <c r="G47" s="25">
        <f>IF(SUM(Detalle!$K$2:$K$326)=0,0,D47/SUM(Detalle!$K$2:$K$326))</f>
        <v/>
      </c>
    </row>
    <row r="48">
      <c r="B48" s="26" t="n"/>
      <c r="C48" s="27" t="inlineStr">
        <is>
          <t>(Sin Subgrupo)</t>
        </is>
      </c>
      <c r="D48" s="28">
        <f>SUMIFS(Detalle!$K$2:$K$326,Detalle!$F$2:$F$326,$B47,Detalle!$G$2:$G$326,$C48)</f>
        <v/>
      </c>
      <c r="E48" s="28">
        <f>SUMIFS(Detalle!$M$2:$M$326,Detalle!$F$2:$F$326,$B47,Detalle!$G$2:$G$326,$C48)</f>
        <v/>
      </c>
      <c r="F48" s="28">
        <f>D48+E48</f>
        <v/>
      </c>
      <c r="G48" s="29">
        <f>IF(SUM(Detalle!$K$2:$K$326)=0,0,D48/SUM(Detalle!$K$2:$K$326))</f>
        <v/>
      </c>
    </row>
    <row r="49">
      <c r="B49" s="20" t="inlineStr">
        <is>
          <t>C. Cableado Tierra</t>
        </is>
      </c>
      <c r="C49" s="7" t="n"/>
      <c r="D49" s="21">
        <f>SUMIFS(Detalle!$K$2:$K$326,Detalle!$F$2:$F$326,$B49)</f>
        <v/>
      </c>
      <c r="E49" s="21">
        <f>SUMIFS(Detalle!$M$2:$M$326,Detalle!$F$2:$F$326,$B49)</f>
        <v/>
      </c>
      <c r="F49" s="21">
        <f>D49+E49</f>
        <v/>
      </c>
      <c r="G49" s="25">
        <f>IF(SUM(Detalle!$K$2:$K$326)=0,0,D49/SUM(Detalle!$K$2:$K$326))</f>
        <v/>
      </c>
    </row>
    <row r="50">
      <c r="B50" s="26" t="n"/>
      <c r="C50" s="27" t="inlineStr">
        <is>
          <t>(Sin Subgrupo)</t>
        </is>
      </c>
      <c r="D50" s="28">
        <f>SUMIFS(Detalle!$K$2:$K$326,Detalle!$F$2:$F$326,$B49,Detalle!$G$2:$G$326,$C50)</f>
        <v/>
      </c>
      <c r="E50" s="28">
        <f>SUMIFS(Detalle!$M$2:$M$326,Detalle!$F$2:$F$326,$B49,Detalle!$G$2:$G$326,$C50)</f>
        <v/>
      </c>
      <c r="F50" s="28">
        <f>D50+E50</f>
        <v/>
      </c>
      <c r="G50" s="29">
        <f>IF(SUM(Detalle!$K$2:$K$326)=0,0,D50/SUM(Detalle!$K$2:$K$326))</f>
        <v/>
      </c>
    </row>
    <row r="51">
      <c r="B51" s="30" t="inlineStr">
        <is>
          <t>TOTAL</t>
        </is>
      </c>
      <c r="C51" s="30" t="n"/>
      <c r="D51" s="31">
        <f>SUM(Detalle!$K$2:$K$326)</f>
        <v/>
      </c>
      <c r="E51" s="31">
        <f>SUM(Detalle!$M$2:$M$326)</f>
        <v/>
      </c>
      <c r="F51" s="31">
        <f>D51+E51</f>
        <v/>
      </c>
      <c r="G51" s="32" t="n">
        <v>1</v>
      </c>
    </row>
  </sheetData>
  <mergeCells count="2">
    <mergeCell ref="B3:G3"/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2" customWidth="1" min="3" max="3"/>
    <col width="20" customWidth="1" min="4" max="4"/>
    <col width="16" customWidth="1" min="5" max="5"/>
    <col width="18" customWidth="1" min="6" max="6"/>
    <col width="11" customWidth="1" min="7" max="7"/>
  </cols>
  <sheetData>
    <row r="2">
      <c r="B2" s="22" t="inlineStr">
        <is>
          <t>¿QUÉ SE COMPRÓ? — CATEGORIZACIÓN DE ÍTEMS</t>
        </is>
      </c>
    </row>
    <row r="3">
      <c r="B3" s="23" t="inlineStr">
        <is>
          <t>Los ítems se agrupan por tipo (transformadores, medidores, inversores, cable, etc.). Se muestra la cantidad total y el valor. Cantidades y valores son fórmulas sobre la hoja Detalle.</t>
        </is>
      </c>
    </row>
    <row r="5">
      <c r="B5" s="5" t="inlineStr">
        <is>
          <t>RESUMEN POR CATEGORÍA</t>
        </is>
      </c>
    </row>
    <row r="6">
      <c r="B6" s="15" t="inlineStr">
        <is>
          <t>Categoría de ítem</t>
        </is>
      </c>
      <c r="C6" s="15" t="inlineStr">
        <is>
          <t>Cant. total</t>
        </is>
      </c>
      <c r="D6" s="15" t="inlineStr">
        <is>
          <t>Valor sin IVA</t>
        </is>
      </c>
      <c r="E6" s="15" t="inlineStr">
        <is>
          <t>IVA</t>
        </is>
      </c>
      <c r="F6" s="15" t="inlineStr">
        <is>
          <t>Total con IVA</t>
        </is>
      </c>
      <c r="G6" s="15" t="inlineStr">
        <is>
          <t>% del total</t>
        </is>
      </c>
    </row>
    <row r="7">
      <c r="B7" s="16" t="inlineStr">
        <is>
          <t>Estructura y soportería solar</t>
        </is>
      </c>
      <c r="C7" s="33">
        <f>SUMIFS(Detalle!$I$2:$I$326,Detalle!$T$2:$T$326,$B7)</f>
        <v/>
      </c>
      <c r="D7" s="17">
        <f>SUMIFS(Detalle!$K$2:$K$326,Detalle!$T$2:$T$326,$B7)</f>
        <v/>
      </c>
      <c r="E7" s="17">
        <f>SUMIFS(Detalle!$M$2:$M$326,Detalle!$T$2:$T$326,$B7)</f>
        <v/>
      </c>
      <c r="F7" s="17">
        <f>D7+E7</f>
        <v/>
      </c>
      <c r="G7" s="34">
        <f>IF(SUM(Detalle!$K$2:$K$326)=0,0,D7/SUM(Detalle!$K$2:$K$326))</f>
        <v/>
      </c>
    </row>
    <row r="8">
      <c r="B8" s="18" t="inlineStr">
        <is>
          <t>Cerramiento perimetral</t>
        </is>
      </c>
      <c r="C8" s="35">
        <f>SUMIFS(Detalle!$I$2:$I$326,Detalle!$T$2:$T$326,$B8)</f>
        <v/>
      </c>
      <c r="D8" s="19">
        <f>SUMIFS(Detalle!$K$2:$K$326,Detalle!$T$2:$T$326,$B8)</f>
        <v/>
      </c>
      <c r="E8" s="19">
        <f>SUMIFS(Detalle!$M$2:$M$326,Detalle!$T$2:$T$326,$B8)</f>
        <v/>
      </c>
      <c r="F8" s="19">
        <f>D8+E8</f>
        <v/>
      </c>
      <c r="G8" s="36">
        <f>IF(SUM(Detalle!$K$2:$K$326)=0,0,D8/SUM(Detalle!$K$2:$K$326))</f>
        <v/>
      </c>
    </row>
    <row r="9">
      <c r="B9" s="16" t="inlineStr">
        <is>
          <t>Obra civil (concreto, agregados)</t>
        </is>
      </c>
      <c r="C9" s="33">
        <f>SUMIFS(Detalle!$I$2:$I$326,Detalle!$T$2:$T$326,$B9)</f>
        <v/>
      </c>
      <c r="D9" s="17">
        <f>SUMIFS(Detalle!$K$2:$K$326,Detalle!$T$2:$T$326,$B9)</f>
        <v/>
      </c>
      <c r="E9" s="17">
        <f>SUMIFS(Detalle!$M$2:$M$326,Detalle!$T$2:$T$326,$B9)</f>
        <v/>
      </c>
      <c r="F9" s="17">
        <f>D9+E9</f>
        <v/>
      </c>
      <c r="G9" s="34">
        <f>IF(SUM(Detalle!$K$2:$K$326)=0,0,D9/SUM(Detalle!$K$2:$K$326))</f>
        <v/>
      </c>
    </row>
    <row r="10">
      <c r="B10" s="18" t="inlineStr">
        <is>
          <t>Inversores</t>
        </is>
      </c>
      <c r="C10" s="35">
        <f>SUMIFS(Detalle!$I$2:$I$326,Detalle!$T$2:$T$326,$B10)</f>
        <v/>
      </c>
      <c r="D10" s="19">
        <f>SUMIFS(Detalle!$K$2:$K$326,Detalle!$T$2:$T$326,$B10)</f>
        <v/>
      </c>
      <c r="E10" s="19">
        <f>SUMIFS(Detalle!$M$2:$M$326,Detalle!$T$2:$T$326,$B10)</f>
        <v/>
      </c>
      <c r="F10" s="19">
        <f>D10+E10</f>
        <v/>
      </c>
      <c r="G10" s="36">
        <f>IF(SUM(Detalle!$K$2:$K$326)=0,0,D10/SUM(Detalle!$K$2:$K$326))</f>
        <v/>
      </c>
    </row>
    <row r="11">
      <c r="B11" s="16" t="inlineStr">
        <is>
          <t>Cableado y conductores</t>
        </is>
      </c>
      <c r="C11" s="33">
        <f>SUMIFS(Detalle!$I$2:$I$326,Detalle!$T$2:$T$326,$B11)</f>
        <v/>
      </c>
      <c r="D11" s="17">
        <f>SUMIFS(Detalle!$K$2:$K$326,Detalle!$T$2:$T$326,$B11)</f>
        <v/>
      </c>
      <c r="E11" s="17">
        <f>SUMIFS(Detalle!$M$2:$M$326,Detalle!$T$2:$T$326,$B11)</f>
        <v/>
      </c>
      <c r="F11" s="17">
        <f>D11+E11</f>
        <v/>
      </c>
      <c r="G11" s="34">
        <f>IF(SUM(Detalle!$K$2:$K$326)=0,0,D11/SUM(Detalle!$K$2:$K$326))</f>
        <v/>
      </c>
    </row>
    <row r="12">
      <c r="B12" s="18" t="inlineStr">
        <is>
          <t>Servicios de obra e ingeniería</t>
        </is>
      </c>
      <c r="C12" s="35">
        <f>SUMIFS(Detalle!$I$2:$I$326,Detalle!$T$2:$T$326,$B12)</f>
        <v/>
      </c>
      <c r="D12" s="19">
        <f>SUMIFS(Detalle!$K$2:$K$326,Detalle!$T$2:$T$326,$B12)</f>
        <v/>
      </c>
      <c r="E12" s="19">
        <f>SUMIFS(Detalle!$M$2:$M$326,Detalle!$T$2:$T$326,$B12)</f>
        <v/>
      </c>
      <c r="F12" s="19">
        <f>D12+E12</f>
        <v/>
      </c>
      <c r="G12" s="36">
        <f>IF(SUM(Detalle!$K$2:$K$326)=0,0,D12/SUM(Detalle!$K$2:$K$326))</f>
        <v/>
      </c>
    </row>
    <row r="13">
      <c r="B13" s="16" t="inlineStr">
        <is>
          <t>Alquiler de maquinaria y equipos</t>
        </is>
      </c>
      <c r="C13" s="33">
        <f>SUMIFS(Detalle!$I$2:$I$326,Detalle!$T$2:$T$326,$B13)</f>
        <v/>
      </c>
      <c r="D13" s="17">
        <f>SUMIFS(Detalle!$K$2:$K$326,Detalle!$T$2:$T$326,$B13)</f>
        <v/>
      </c>
      <c r="E13" s="17">
        <f>SUMIFS(Detalle!$M$2:$M$326,Detalle!$T$2:$T$326,$B13)</f>
        <v/>
      </c>
      <c r="F13" s="17">
        <f>D13+E13</f>
        <v/>
      </c>
      <c r="G13" s="34">
        <f>IF(SUM(Detalle!$K$2:$K$326)=0,0,D13/SUM(Detalle!$K$2:$K$326))</f>
        <v/>
      </c>
    </row>
    <row r="14">
      <c r="B14" s="18" t="inlineStr">
        <is>
          <t>RETIE / Legalización / Medición</t>
        </is>
      </c>
      <c r="C14" s="35">
        <f>SUMIFS(Detalle!$I$2:$I$326,Detalle!$T$2:$T$326,$B14)</f>
        <v/>
      </c>
      <c r="D14" s="19">
        <f>SUMIFS(Detalle!$K$2:$K$326,Detalle!$T$2:$T$326,$B14)</f>
        <v/>
      </c>
      <c r="E14" s="19">
        <f>SUMIFS(Detalle!$M$2:$M$326,Detalle!$T$2:$T$326,$B14)</f>
        <v/>
      </c>
      <c r="F14" s="19">
        <f>D14+E14</f>
        <v/>
      </c>
      <c r="G14" s="36">
        <f>IF(SUM(Detalle!$K$2:$K$326)=0,0,D14/SUM(Detalle!$K$2:$K$326))</f>
        <v/>
      </c>
    </row>
    <row r="15">
      <c r="B15" s="16" t="inlineStr">
        <is>
          <t>Viáticos - Alimentación</t>
        </is>
      </c>
      <c r="C15" s="33">
        <f>SUMIFS(Detalle!$I$2:$I$326,Detalle!$T$2:$T$326,$B15)</f>
        <v/>
      </c>
      <c r="D15" s="17">
        <f>SUMIFS(Detalle!$K$2:$K$326,Detalle!$T$2:$T$326,$B15)</f>
        <v/>
      </c>
      <c r="E15" s="17">
        <f>SUMIFS(Detalle!$M$2:$M$326,Detalle!$T$2:$T$326,$B15)</f>
        <v/>
      </c>
      <c r="F15" s="17">
        <f>D15+E15</f>
        <v/>
      </c>
      <c r="G15" s="34">
        <f>IF(SUM(Detalle!$K$2:$K$326)=0,0,D15/SUM(Detalle!$K$2:$K$326))</f>
        <v/>
      </c>
    </row>
    <row r="16">
      <c r="B16" s="18" t="inlineStr">
        <is>
          <t>Fletes y transporte de carga</t>
        </is>
      </c>
      <c r="C16" s="35">
        <f>SUMIFS(Detalle!$I$2:$I$326,Detalle!$T$2:$T$326,$B16)</f>
        <v/>
      </c>
      <c r="D16" s="19">
        <f>SUMIFS(Detalle!$K$2:$K$326,Detalle!$T$2:$T$326,$B16)</f>
        <v/>
      </c>
      <c r="E16" s="19">
        <f>SUMIFS(Detalle!$M$2:$M$326,Detalle!$T$2:$T$326,$B16)</f>
        <v/>
      </c>
      <c r="F16" s="19">
        <f>D16+E16</f>
        <v/>
      </c>
      <c r="G16" s="36">
        <f>IF(SUM(Detalle!$K$2:$K$326)=0,0,D16/SUM(Detalle!$K$2:$K$326))</f>
        <v/>
      </c>
    </row>
    <row r="17">
      <c r="B17" s="16" t="inlineStr">
        <is>
          <t>Viáticos - Hospedaje</t>
        </is>
      </c>
      <c r="C17" s="33">
        <f>SUMIFS(Detalle!$I$2:$I$326,Detalle!$T$2:$T$326,$B17)</f>
        <v/>
      </c>
      <c r="D17" s="17">
        <f>SUMIFS(Detalle!$K$2:$K$326,Detalle!$T$2:$T$326,$B17)</f>
        <v/>
      </c>
      <c r="E17" s="17">
        <f>SUMIFS(Detalle!$M$2:$M$326,Detalle!$T$2:$T$326,$B17)</f>
        <v/>
      </c>
      <c r="F17" s="17">
        <f>D17+E17</f>
        <v/>
      </c>
      <c r="G17" s="34">
        <f>IF(SUM(Detalle!$K$2:$K$326)=0,0,D17/SUM(Detalle!$K$2:$K$326))</f>
        <v/>
      </c>
    </row>
    <row r="18">
      <c r="B18" s="18" t="inlineStr">
        <is>
          <t>Canalización y tubería</t>
        </is>
      </c>
      <c r="C18" s="35">
        <f>SUMIFS(Detalle!$I$2:$I$326,Detalle!$T$2:$T$326,$B18)</f>
        <v/>
      </c>
      <c r="D18" s="19">
        <f>SUMIFS(Detalle!$K$2:$K$326,Detalle!$T$2:$T$326,$B18)</f>
        <v/>
      </c>
      <c r="E18" s="19">
        <f>SUMIFS(Detalle!$M$2:$M$326,Detalle!$T$2:$T$326,$B18)</f>
        <v/>
      </c>
      <c r="F18" s="19">
        <f>D18+E18</f>
        <v/>
      </c>
      <c r="G18" s="36">
        <f>IF(SUM(Detalle!$K$2:$K$326)=0,0,D18/SUM(Detalle!$K$2:$K$326))</f>
        <v/>
      </c>
    </row>
    <row r="19">
      <c r="B19" s="16" t="inlineStr">
        <is>
          <t>Transformadores y celdas</t>
        </is>
      </c>
      <c r="C19" s="33">
        <f>SUMIFS(Detalle!$I$2:$I$326,Detalle!$T$2:$T$326,$B19)</f>
        <v/>
      </c>
      <c r="D19" s="17">
        <f>SUMIFS(Detalle!$K$2:$K$326,Detalle!$T$2:$T$326,$B19)</f>
        <v/>
      </c>
      <c r="E19" s="17">
        <f>SUMIFS(Detalle!$M$2:$M$326,Detalle!$T$2:$T$326,$B19)</f>
        <v/>
      </c>
      <c r="F19" s="17">
        <f>D19+E19</f>
        <v/>
      </c>
      <c r="G19" s="34">
        <f>IF(SUM(Detalle!$K$2:$K$326)=0,0,D19/SUM(Detalle!$K$2:$K$326))</f>
        <v/>
      </c>
    </row>
    <row r="20">
      <c r="B20" s="18" t="inlineStr">
        <is>
          <t>Baños y sanitarios portátiles</t>
        </is>
      </c>
      <c r="C20" s="35">
        <f>SUMIFS(Detalle!$I$2:$I$326,Detalle!$T$2:$T$326,$B20)</f>
        <v/>
      </c>
      <c r="D20" s="19">
        <f>SUMIFS(Detalle!$K$2:$K$326,Detalle!$T$2:$T$326,$B20)</f>
        <v/>
      </c>
      <c r="E20" s="19">
        <f>SUMIFS(Detalle!$M$2:$M$326,Detalle!$T$2:$T$326,$B20)</f>
        <v/>
      </c>
      <c r="F20" s="19">
        <f>D20+E20</f>
        <v/>
      </c>
      <c r="G20" s="36">
        <f>IF(SUM(Detalle!$K$2:$K$326)=0,0,D20/SUM(Detalle!$K$2:$K$326))</f>
        <v/>
      </c>
    </row>
    <row r="21">
      <c r="B21" s="16" t="inlineStr">
        <is>
          <t>Otros / sin clasificar</t>
        </is>
      </c>
      <c r="C21" s="33">
        <f>SUMIFS(Detalle!$I$2:$I$326,Detalle!$T$2:$T$326,$B21)</f>
        <v/>
      </c>
      <c r="D21" s="17">
        <f>SUMIFS(Detalle!$K$2:$K$326,Detalle!$T$2:$T$326,$B21)</f>
        <v/>
      </c>
      <c r="E21" s="17">
        <f>SUMIFS(Detalle!$M$2:$M$326,Detalle!$T$2:$T$326,$B21)</f>
        <v/>
      </c>
      <c r="F21" s="17">
        <f>D21+E21</f>
        <v/>
      </c>
      <c r="G21" s="34">
        <f>IF(SUM(Detalle!$K$2:$K$326)=0,0,D21/SUM(Detalle!$K$2:$K$326))</f>
        <v/>
      </c>
    </row>
    <row r="22">
      <c r="B22" s="18" t="inlineStr">
        <is>
          <t>Monitoreo y comunicaciones</t>
        </is>
      </c>
      <c r="C22" s="35">
        <f>SUMIFS(Detalle!$I$2:$I$326,Detalle!$T$2:$T$326,$B22)</f>
        <v/>
      </c>
      <c r="D22" s="19">
        <f>SUMIFS(Detalle!$K$2:$K$326,Detalle!$T$2:$T$326,$B22)</f>
        <v/>
      </c>
      <c r="E22" s="19">
        <f>SUMIFS(Detalle!$M$2:$M$326,Detalle!$T$2:$T$326,$B22)</f>
        <v/>
      </c>
      <c r="F22" s="19">
        <f>D22+E22</f>
        <v/>
      </c>
      <c r="G22" s="36">
        <f>IF(SUM(Detalle!$K$2:$K$326)=0,0,D22/SUM(Detalle!$K$2:$K$326))</f>
        <v/>
      </c>
    </row>
    <row r="23">
      <c r="B23" s="16" t="inlineStr">
        <is>
          <t>Viáticos - Transporte</t>
        </is>
      </c>
      <c r="C23" s="33">
        <f>SUMIFS(Detalle!$I$2:$I$326,Detalle!$T$2:$T$326,$B23)</f>
        <v/>
      </c>
      <c r="D23" s="17">
        <f>SUMIFS(Detalle!$K$2:$K$326,Detalle!$T$2:$T$326,$B23)</f>
        <v/>
      </c>
      <c r="E23" s="17">
        <f>SUMIFS(Detalle!$M$2:$M$326,Detalle!$T$2:$T$326,$B23)</f>
        <v/>
      </c>
      <c r="F23" s="17">
        <f>D23+E23</f>
        <v/>
      </c>
      <c r="G23" s="34">
        <f>IF(SUM(Detalle!$K$2:$K$326)=0,0,D23/SUM(Detalle!$K$2:$K$326))</f>
        <v/>
      </c>
    </row>
    <row r="24">
      <c r="B24" s="18" t="inlineStr">
        <is>
          <t>Medidores</t>
        </is>
      </c>
      <c r="C24" s="35">
        <f>SUMIFS(Detalle!$I$2:$I$326,Detalle!$T$2:$T$326,$B24)</f>
        <v/>
      </c>
      <c r="D24" s="19">
        <f>SUMIFS(Detalle!$K$2:$K$326,Detalle!$T$2:$T$326,$B24)</f>
        <v/>
      </c>
      <c r="E24" s="19">
        <f>SUMIFS(Detalle!$M$2:$M$326,Detalle!$T$2:$T$326,$B24)</f>
        <v/>
      </c>
      <c r="F24" s="19">
        <f>D24+E24</f>
        <v/>
      </c>
      <c r="G24" s="36">
        <f>IF(SUM(Detalle!$K$2:$K$326)=0,0,D24/SUM(Detalle!$K$2:$K$326))</f>
        <v/>
      </c>
    </row>
    <row r="25">
      <c r="B25" s="16" t="inlineStr">
        <is>
          <t>Puesta a tierra</t>
        </is>
      </c>
      <c r="C25" s="33">
        <f>SUMIFS(Detalle!$I$2:$I$326,Detalle!$T$2:$T$326,$B25)</f>
        <v/>
      </c>
      <c r="D25" s="17">
        <f>SUMIFS(Detalle!$K$2:$K$326,Detalle!$T$2:$T$326,$B25)</f>
        <v/>
      </c>
      <c r="E25" s="17">
        <f>SUMIFS(Detalle!$M$2:$M$326,Detalle!$T$2:$T$326,$B25)</f>
        <v/>
      </c>
      <c r="F25" s="17">
        <f>D25+E25</f>
        <v/>
      </c>
      <c r="G25" s="34">
        <f>IF(SUM(Detalle!$K$2:$K$326)=0,0,D25/SUM(Detalle!$K$2:$K$326))</f>
        <v/>
      </c>
    </row>
    <row r="26">
      <c r="B26" s="18" t="inlineStr">
        <is>
          <t>Impermeabilización y acabados</t>
        </is>
      </c>
      <c r="C26" s="35">
        <f>SUMIFS(Detalle!$I$2:$I$326,Detalle!$T$2:$T$326,$B26)</f>
        <v/>
      </c>
      <c r="D26" s="19">
        <f>SUMIFS(Detalle!$K$2:$K$326,Detalle!$T$2:$T$326,$B26)</f>
        <v/>
      </c>
      <c r="E26" s="19">
        <f>SUMIFS(Detalle!$M$2:$M$326,Detalle!$T$2:$T$326,$B26)</f>
        <v/>
      </c>
      <c r="F26" s="19">
        <f>D26+E26</f>
        <v/>
      </c>
      <c r="G26" s="36">
        <f>IF(SUM(Detalle!$K$2:$K$326)=0,0,D26/SUM(Detalle!$K$2:$K$326))</f>
        <v/>
      </c>
    </row>
    <row r="27">
      <c r="B27" s="16" t="inlineStr">
        <is>
          <t>Cajas de paso y accesorios</t>
        </is>
      </c>
      <c r="C27" s="33">
        <f>SUMIFS(Detalle!$I$2:$I$326,Detalle!$T$2:$T$326,$B27)</f>
        <v/>
      </c>
      <c r="D27" s="17">
        <f>SUMIFS(Detalle!$K$2:$K$326,Detalle!$T$2:$T$326,$B27)</f>
        <v/>
      </c>
      <c r="E27" s="17">
        <f>SUMIFS(Detalle!$M$2:$M$326,Detalle!$T$2:$T$326,$B27)</f>
        <v/>
      </c>
      <c r="F27" s="17">
        <f>D27+E27</f>
        <v/>
      </c>
      <c r="G27" s="34">
        <f>IF(SUM(Detalle!$K$2:$K$326)=0,0,D27/SUM(Detalle!$K$2:$K$326))</f>
        <v/>
      </c>
    </row>
    <row r="28">
      <c r="B28" s="18" t="inlineStr">
        <is>
          <t>Servicios de instalación y montaje</t>
        </is>
      </c>
      <c r="C28" s="35">
        <f>SUMIFS(Detalle!$I$2:$I$326,Detalle!$T$2:$T$326,$B28)</f>
        <v/>
      </c>
      <c r="D28" s="19">
        <f>SUMIFS(Detalle!$K$2:$K$326,Detalle!$T$2:$T$326,$B28)</f>
        <v/>
      </c>
      <c r="E28" s="19">
        <f>SUMIFS(Detalle!$M$2:$M$326,Detalle!$T$2:$T$326,$B28)</f>
        <v/>
      </c>
      <c r="F28" s="19">
        <f>D28+E28</f>
        <v/>
      </c>
      <c r="G28" s="36">
        <f>IF(SUM(Detalle!$K$2:$K$326)=0,0,D28/SUM(Detalle!$K$2:$K$326))</f>
        <v/>
      </c>
    </row>
    <row r="29">
      <c r="B29" s="16" t="inlineStr">
        <is>
          <t>SST y exámenes médicos</t>
        </is>
      </c>
      <c r="C29" s="33">
        <f>SUMIFS(Detalle!$I$2:$I$326,Detalle!$T$2:$T$326,$B29)</f>
        <v/>
      </c>
      <c r="D29" s="17">
        <f>SUMIFS(Detalle!$K$2:$K$326,Detalle!$T$2:$T$326,$B29)</f>
        <v/>
      </c>
      <c r="E29" s="17">
        <f>SUMIFS(Detalle!$M$2:$M$326,Detalle!$T$2:$T$326,$B29)</f>
        <v/>
      </c>
      <c r="F29" s="17">
        <f>D29+E29</f>
        <v/>
      </c>
      <c r="G29" s="34">
        <f>IF(SUM(Detalle!$K$2:$K$326)=0,0,D29/SUM(Detalle!$K$2:$K$326))</f>
        <v/>
      </c>
    </row>
    <row r="30">
      <c r="B30" s="18" t="inlineStr">
        <is>
          <t>Micropilotaje</t>
        </is>
      </c>
      <c r="C30" s="35">
        <f>SUMIFS(Detalle!$I$2:$I$326,Detalle!$T$2:$T$326,$B30)</f>
        <v/>
      </c>
      <c r="D30" s="19">
        <f>SUMIFS(Detalle!$K$2:$K$326,Detalle!$T$2:$T$326,$B30)</f>
        <v/>
      </c>
      <c r="E30" s="19">
        <f>SUMIFS(Detalle!$M$2:$M$326,Detalle!$T$2:$T$326,$B30)</f>
        <v/>
      </c>
      <c r="F30" s="19">
        <f>D30+E30</f>
        <v/>
      </c>
      <c r="G30" s="36">
        <f>IF(SUM(Detalle!$K$2:$K$326)=0,0,D30/SUM(Detalle!$K$2:$K$326))</f>
        <v/>
      </c>
    </row>
    <row r="31">
      <c r="B31" s="16" t="inlineStr">
        <is>
          <t>EPP (dotación y seguridad)</t>
        </is>
      </c>
      <c r="C31" s="33">
        <f>SUMIFS(Detalle!$I$2:$I$326,Detalle!$T$2:$T$326,$B31)</f>
        <v/>
      </c>
      <c r="D31" s="17">
        <f>SUMIFS(Detalle!$K$2:$K$326,Detalle!$T$2:$T$326,$B31)</f>
        <v/>
      </c>
      <c r="E31" s="17">
        <f>SUMIFS(Detalle!$M$2:$M$326,Detalle!$T$2:$T$326,$B31)</f>
        <v/>
      </c>
      <c r="F31" s="17">
        <f>D31+E31</f>
        <v/>
      </c>
      <c r="G31" s="34">
        <f>IF(SUM(Detalle!$K$2:$K$326)=0,0,D31/SUM(Detalle!$K$2:$K$326))</f>
        <v/>
      </c>
    </row>
    <row r="32">
      <c r="B32" s="18" t="inlineStr">
        <is>
          <t>Tableros y protecciones</t>
        </is>
      </c>
      <c r="C32" s="35">
        <f>SUMIFS(Detalle!$I$2:$I$326,Detalle!$T$2:$T$326,$B32)</f>
        <v/>
      </c>
      <c r="D32" s="19">
        <f>SUMIFS(Detalle!$K$2:$K$326,Detalle!$T$2:$T$326,$B32)</f>
        <v/>
      </c>
      <c r="E32" s="19">
        <f>SUMIFS(Detalle!$M$2:$M$326,Detalle!$T$2:$T$326,$B32)</f>
        <v/>
      </c>
      <c r="F32" s="19">
        <f>D32+E32</f>
        <v/>
      </c>
      <c r="G32" s="36">
        <f>IF(SUM(Detalle!$K$2:$K$326)=0,0,D32/SUM(Detalle!$K$2:$K$326))</f>
        <v/>
      </c>
    </row>
    <row r="33">
      <c r="B33" s="30" t="inlineStr">
        <is>
          <t>TOTAL</t>
        </is>
      </c>
      <c r="C33" s="37">
        <f>SUM(C7:C32)</f>
        <v/>
      </c>
      <c r="D33" s="31">
        <f>SUM(Detalle!$K$2:$K$326)</f>
        <v/>
      </c>
      <c r="E33" s="31">
        <f>SUM(Detalle!$M$2:$M$326)</f>
        <v/>
      </c>
      <c r="F33" s="31">
        <f>D33+E33</f>
        <v/>
      </c>
      <c r="G33" s="32" t="n">
        <v>1</v>
      </c>
    </row>
    <row r="36">
      <c r="B36" s="5" t="inlineStr">
        <is>
          <t>DETALLE DE ÍTEMS POR CATEGORÍA</t>
        </is>
      </c>
    </row>
    <row r="37">
      <c r="B37" s="23" t="inlineStr">
        <is>
          <t>Aquí se ve, por ejemplo, cuántos transformadores, medidores o inversores consumió el proyecto.</t>
        </is>
      </c>
    </row>
    <row r="38">
      <c r="B38" s="15" t="inlineStr">
        <is>
          <t>Categoría / Ítem</t>
        </is>
      </c>
      <c r="C38" s="15" t="inlineStr">
        <is>
          <t>Cant.</t>
        </is>
      </c>
      <c r="D38" s="15" t="inlineStr">
        <is>
          <t>Valor sin IVA</t>
        </is>
      </c>
      <c r="E38" s="15" t="inlineStr">
        <is>
          <t>IVA</t>
        </is>
      </c>
      <c r="F38" s="15" t="inlineStr">
        <is>
          <t>Total con IVA</t>
        </is>
      </c>
    </row>
    <row r="39">
      <c r="B39" s="20" t="inlineStr">
        <is>
          <t>Estructura y soportería solar</t>
        </is>
      </c>
      <c r="C39" s="38">
        <f>SUMIFS(Detalle!$I$2:$I$326,Detalle!$T$2:$T$326,$B39)</f>
        <v/>
      </c>
      <c r="D39" s="21">
        <f>SUMIFS(Detalle!$K$2:$K$326,Detalle!$T$2:$T$326,$B39)</f>
        <v/>
      </c>
      <c r="E39" s="21">
        <f>SUMIFS(Detalle!$M$2:$M$326,Detalle!$T$2:$T$326,$B39)</f>
        <v/>
      </c>
      <c r="F39" s="21">
        <f>D39+E39</f>
        <v/>
      </c>
    </row>
    <row r="40">
      <c r="B40" s="39" t="inlineStr">
        <is>
          <t>ESTRUCTURA SOLAR TIPO GRANJA - TIPO DE  MESA 2PV14 PARA 28 PANELES - UND</t>
        </is>
      </c>
      <c r="C40" s="40">
        <f>SUMIFS(Detalle!$I$2:$I$326,Detalle!$T$2:$T$326,$B39,Detalle!$H$2:$H$326,$B40)</f>
        <v/>
      </c>
      <c r="D40" s="28">
        <f>SUMIFS(Detalle!$K$2:$K$326,Detalle!$T$2:$T$326,$B39,Detalle!$H$2:$H$326,$B40)</f>
        <v/>
      </c>
      <c r="E40" s="28">
        <f>SUMIFS(Detalle!$M$2:$M$326,Detalle!$T$2:$T$326,$B39,Detalle!$H$2:$H$326,$B40)</f>
        <v/>
      </c>
      <c r="F40" s="28">
        <f>D40+E40</f>
        <v/>
      </c>
    </row>
    <row r="41">
      <c r="B41" s="39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C41" s="40">
        <f>SUMIFS(Detalle!$I$2:$I$326,Detalle!$T$2:$T$326,$B39,Detalle!$H$2:$H$326,$B41)</f>
        <v/>
      </c>
      <c r="D41" s="28">
        <f>SUMIFS(Detalle!$K$2:$K$326,Detalle!$T$2:$T$326,$B39,Detalle!$H$2:$H$326,$B41)</f>
        <v/>
      </c>
      <c r="E41" s="28">
        <f>SUMIFS(Detalle!$M$2:$M$326,Detalle!$T$2:$T$326,$B39,Detalle!$H$2:$H$326,$B41)</f>
        <v/>
      </c>
      <c r="F41" s="28">
        <f>D41+E41</f>
        <v/>
      </c>
    </row>
    <row r="42">
      <c r="B42" s="39" t="inlineStr">
        <is>
          <t>SUMINISTRO DE MARCOS METÁLICOS DE 1.40X1.40 MTS EN ANGULO DE 1 1/2X3/16" - UND</t>
        </is>
      </c>
      <c r="C42" s="40">
        <f>SUMIFS(Detalle!$I$2:$I$326,Detalle!$T$2:$T$326,$B39,Detalle!$H$2:$H$326,$B42)</f>
        <v/>
      </c>
      <c r="D42" s="28">
        <f>SUMIFS(Detalle!$K$2:$K$326,Detalle!$T$2:$T$326,$B39,Detalle!$H$2:$H$326,$B42)</f>
        <v/>
      </c>
      <c r="E42" s="28">
        <f>SUMIFS(Detalle!$M$2:$M$326,Detalle!$T$2:$T$326,$B39,Detalle!$H$2:$H$326,$B42)</f>
        <v/>
      </c>
      <c r="F42" s="28">
        <f>D42+E42</f>
        <v/>
      </c>
    </row>
    <row r="43">
      <c r="B43" s="39" t="inlineStr">
        <is>
          <t>SUMINISTRO DE TAPAS PARA CÁRCAMOS. CUARTO ELÉCTRICO. EN ANGULO DE 1 1/4X1/8" Y LAMINA ALFAJOR DE 2.5MM, PINTURA ANTICORROSIVA Y ESMALTE. - UND</t>
        </is>
      </c>
      <c r="C43" s="40">
        <f>SUMIFS(Detalle!$I$2:$I$326,Detalle!$T$2:$T$326,$B39,Detalle!$H$2:$H$326,$B43)</f>
        <v/>
      </c>
      <c r="D43" s="28">
        <f>SUMIFS(Detalle!$K$2:$K$326,Detalle!$T$2:$T$326,$B39,Detalle!$H$2:$H$326,$B43)</f>
        <v/>
      </c>
      <c r="E43" s="28">
        <f>SUMIFS(Detalle!$M$2:$M$326,Detalle!$T$2:$T$326,$B39,Detalle!$H$2:$H$326,$B43)</f>
        <v/>
      </c>
      <c r="F43" s="28">
        <f>D43+E43</f>
        <v/>
      </c>
    </row>
    <row r="44">
      <c r="B44" s="39" t="inlineStr">
        <is>
          <t>SUPERBOARD ESTANDAR 1220X2440X6MM (DP)  UND SUPERBOAR - UND</t>
        </is>
      </c>
      <c r="C44" s="40">
        <f>SUMIFS(Detalle!$I$2:$I$326,Detalle!$T$2:$T$326,$B39,Detalle!$H$2:$H$326,$B44)</f>
        <v/>
      </c>
      <c r="D44" s="28">
        <f>SUMIFS(Detalle!$K$2:$K$326,Detalle!$T$2:$T$326,$B39,Detalle!$H$2:$H$326,$B44)</f>
        <v/>
      </c>
      <c r="E44" s="28">
        <f>SUMIFS(Detalle!$M$2:$M$326,Detalle!$T$2:$T$326,$B39,Detalle!$H$2:$H$326,$B44)</f>
        <v/>
      </c>
      <c r="F44" s="28">
        <f>D44+E44</f>
        <v/>
      </c>
    </row>
    <row r="45">
      <c r="B45" s="39" t="inlineStr">
        <is>
          <t>PERFIL RECTANGULAR DE 2"X1" X 6M CAL 18 - UND</t>
        </is>
      </c>
      <c r="C45" s="40">
        <f>SUMIFS(Detalle!$I$2:$I$326,Detalle!$T$2:$T$326,$B39,Detalle!$H$2:$H$326,$B45)</f>
        <v/>
      </c>
      <c r="D45" s="28">
        <f>SUMIFS(Detalle!$K$2:$K$326,Detalle!$T$2:$T$326,$B39,Detalle!$H$2:$H$326,$B45)</f>
        <v/>
      </c>
      <c r="E45" s="28">
        <f>SUMIFS(Detalle!$M$2:$M$326,Detalle!$T$2:$T$326,$B39,Detalle!$H$2:$H$326,$B45)</f>
        <v/>
      </c>
      <c r="F45" s="28">
        <f>D45+E45</f>
        <v/>
      </c>
    </row>
    <row r="46">
      <c r="B46" s="39" t="inlineStr">
        <is>
          <t>PLATINA DE 35CMX35CMX1CM - UND</t>
        </is>
      </c>
      <c r="C46" s="40">
        <f>SUMIFS(Detalle!$I$2:$I$326,Detalle!$T$2:$T$326,$B39,Detalle!$H$2:$H$326,$B46)</f>
        <v/>
      </c>
      <c r="D46" s="28">
        <f>SUMIFS(Detalle!$K$2:$K$326,Detalle!$T$2:$T$326,$B39,Detalle!$H$2:$H$326,$B46)</f>
        <v/>
      </c>
      <c r="E46" s="28">
        <f>SUMIFS(Detalle!$M$2:$M$326,Detalle!$T$2:$T$326,$B39,Detalle!$H$2:$H$326,$B46)</f>
        <v/>
      </c>
      <c r="F46" s="28">
        <f>D46+E46</f>
        <v/>
      </c>
    </row>
    <row r="47">
      <c r="B47" s="39" t="inlineStr">
        <is>
          <t>RIEL CHANNEL 4X2 RANURADO 3M - UND</t>
        </is>
      </c>
      <c r="C47" s="40">
        <f>SUMIFS(Detalle!$I$2:$I$326,Detalle!$T$2:$T$326,$B39,Detalle!$H$2:$H$326,$B47)</f>
        <v/>
      </c>
      <c r="D47" s="28">
        <f>SUMIFS(Detalle!$K$2:$K$326,Detalle!$T$2:$T$326,$B39,Detalle!$H$2:$H$326,$B47)</f>
        <v/>
      </c>
      <c r="E47" s="28">
        <f>SUMIFS(Detalle!$M$2:$M$326,Detalle!$T$2:$T$326,$B39,Detalle!$H$2:$H$326,$B47)</f>
        <v/>
      </c>
      <c r="F47" s="28">
        <f>D47+E47</f>
        <v/>
      </c>
    </row>
    <row r="48">
      <c r="B48" s="39" t="inlineStr">
        <is>
          <t>MINIBREAKER BIPOLAR PARA RIEL 6AMP SIEMENS - UND</t>
        </is>
      </c>
      <c r="C48" s="40">
        <f>SUMIFS(Detalle!$I$2:$I$326,Detalle!$T$2:$T$326,$B39,Detalle!$H$2:$H$326,$B48)</f>
        <v/>
      </c>
      <c r="D48" s="28">
        <f>SUMIFS(Detalle!$K$2:$K$326,Detalle!$T$2:$T$326,$B39,Detalle!$H$2:$H$326,$B48)</f>
        <v/>
      </c>
      <c r="E48" s="28">
        <f>SUMIFS(Detalle!$M$2:$M$326,Detalle!$T$2:$T$326,$B39,Detalle!$H$2:$H$326,$B48)</f>
        <v/>
      </c>
      <c r="F48" s="28">
        <f>D48+E48</f>
        <v/>
      </c>
    </row>
    <row r="49">
      <c r="B49" s="39" t="inlineStr">
        <is>
          <t>VIGUETA PARA SUPERBOARD DE 1 1/2" X3/4" CALIBRE 40 - UND</t>
        </is>
      </c>
      <c r="C49" s="40">
        <f>SUMIFS(Detalle!$I$2:$I$326,Detalle!$T$2:$T$326,$B39,Detalle!$H$2:$H$326,$B49)</f>
        <v/>
      </c>
      <c r="D49" s="28">
        <f>SUMIFS(Detalle!$K$2:$K$326,Detalle!$T$2:$T$326,$B39,Detalle!$H$2:$H$326,$B49)</f>
        <v/>
      </c>
      <c r="E49" s="28">
        <f>SUMIFS(Detalle!$M$2:$M$326,Detalle!$T$2:$T$326,$B39,Detalle!$H$2:$H$326,$B49)</f>
        <v/>
      </c>
      <c r="F49" s="28">
        <f>D49+E49</f>
        <v/>
      </c>
    </row>
    <row r="50">
      <c r="B50" s="39" t="inlineStr">
        <is>
          <t>MINIBREAKER MONOPOLAR PARA RIEL 6AMP SIEMENS - UND</t>
        </is>
      </c>
      <c r="C50" s="40">
        <f>SUMIFS(Detalle!$I$2:$I$326,Detalle!$T$2:$T$326,$B39,Detalle!$H$2:$H$326,$B50)</f>
        <v/>
      </c>
      <c r="D50" s="28">
        <f>SUMIFS(Detalle!$K$2:$K$326,Detalle!$T$2:$T$326,$B39,Detalle!$H$2:$H$326,$B50)</f>
        <v/>
      </c>
      <c r="E50" s="28">
        <f>SUMIFS(Detalle!$M$2:$M$326,Detalle!$T$2:$T$326,$B39,Detalle!$H$2:$H$326,$B50)</f>
        <v/>
      </c>
      <c r="F50" s="28">
        <f>D50+E50</f>
        <v/>
      </c>
    </row>
    <row r="51">
      <c r="B51" s="20" t="inlineStr">
        <is>
          <t>Cerramiento perimetral</t>
        </is>
      </c>
      <c r="C51" s="38">
        <f>SUMIFS(Detalle!$I$2:$I$326,Detalle!$T$2:$T$326,$B51)</f>
        <v/>
      </c>
      <c r="D51" s="21">
        <f>SUMIFS(Detalle!$K$2:$K$326,Detalle!$T$2:$T$326,$B51)</f>
        <v/>
      </c>
      <c r="E51" s="21">
        <f>SUMIFS(Detalle!$M$2:$M$326,Detalle!$T$2:$T$326,$B51)</f>
        <v/>
      </c>
      <c r="F51" s="21">
        <f>D51+E51</f>
        <v/>
      </c>
    </row>
    <row r="52">
      <c r="B52" s="39" t="inlineStr">
        <is>
          <t>CERRAMIENTO PERIMETRAL - UND</t>
        </is>
      </c>
      <c r="C52" s="40">
        <f>SUMIFS(Detalle!$I$2:$I$326,Detalle!$T$2:$T$326,$B51,Detalle!$H$2:$H$326,$B52)</f>
        <v/>
      </c>
      <c r="D52" s="28">
        <f>SUMIFS(Detalle!$K$2:$K$326,Detalle!$T$2:$T$326,$B51,Detalle!$H$2:$H$326,$B52)</f>
        <v/>
      </c>
      <c r="E52" s="28">
        <f>SUMIFS(Detalle!$M$2:$M$326,Detalle!$T$2:$T$326,$B51,Detalle!$H$2:$H$326,$B52)</f>
        <v/>
      </c>
      <c r="F52" s="28">
        <f>D52+E52</f>
        <v/>
      </c>
    </row>
    <row r="53">
      <c r="B53" s="39" t="inlineStr">
        <is>
          <t>SUMINISTRO DE PORTON METALICO  MEDIDAS DE 2.38 MT x 2.40 MT. EN  LAMINA GALVANIZADA CALIBRE 20, EN  DOS HOJAS Y CON CHAPA  ANTIPANICO.  - UND</t>
        </is>
      </c>
      <c r="C53" s="40">
        <f>SUMIFS(Detalle!$I$2:$I$326,Detalle!$T$2:$T$326,$B51,Detalle!$H$2:$H$326,$B53)</f>
        <v/>
      </c>
      <c r="D53" s="28">
        <f>SUMIFS(Detalle!$K$2:$K$326,Detalle!$T$2:$T$326,$B51,Detalle!$H$2:$H$326,$B53)</f>
        <v/>
      </c>
      <c r="E53" s="28">
        <f>SUMIFS(Detalle!$M$2:$M$326,Detalle!$T$2:$T$326,$B51,Detalle!$H$2:$H$326,$B53)</f>
        <v/>
      </c>
      <c r="F53" s="28">
        <f>D53+E53</f>
        <v/>
      </c>
    </row>
    <row r="54">
      <c r="B54" s="39" t="inlineStr">
        <is>
          <t>SUMINISTRO DE PORTON METALICO DE 2 MT x 2.40 MT EN LAMINA GALVANIZADA CALIBRE 20 EN 2 HOJAS Y CON CHAPA ANTIPANICO.  - UND</t>
        </is>
      </c>
      <c r="C54" s="40">
        <f>SUMIFS(Detalle!$I$2:$I$326,Detalle!$T$2:$T$326,$B51,Detalle!$H$2:$H$326,$B54)</f>
        <v/>
      </c>
      <c r="D54" s="28">
        <f>SUMIFS(Detalle!$K$2:$K$326,Detalle!$T$2:$T$326,$B51,Detalle!$H$2:$H$326,$B54)</f>
        <v/>
      </c>
      <c r="E54" s="28">
        <f>SUMIFS(Detalle!$M$2:$M$326,Detalle!$T$2:$T$326,$B51,Detalle!$H$2:$H$326,$B54)</f>
        <v/>
      </c>
      <c r="F54" s="28">
        <f>D54+E54</f>
        <v/>
      </c>
    </row>
    <row r="55">
      <c r="B55" s="20" t="inlineStr">
        <is>
          <t>Obra civil (concreto, agregados)</t>
        </is>
      </c>
      <c r="C55" s="38">
        <f>SUMIFS(Detalle!$I$2:$I$326,Detalle!$T$2:$T$326,$B55)</f>
        <v/>
      </c>
      <c r="D55" s="21">
        <f>SUMIFS(Detalle!$K$2:$K$326,Detalle!$T$2:$T$326,$B55)</f>
        <v/>
      </c>
      <c r="E55" s="21">
        <f>SUMIFS(Detalle!$M$2:$M$326,Detalle!$T$2:$T$326,$B55)</f>
        <v/>
      </c>
      <c r="F55" s="21">
        <f>D55+E55</f>
        <v/>
      </c>
    </row>
    <row r="56">
      <c r="B56" s="39" t="inlineStr">
        <is>
          <t>CEMENTO GRIS X BULTO - UND</t>
        </is>
      </c>
      <c r="C56" s="40">
        <f>SUMIFS(Detalle!$I$2:$I$326,Detalle!$T$2:$T$326,$B55,Detalle!$H$2:$H$326,$B56)</f>
        <v/>
      </c>
      <c r="D56" s="28">
        <f>SUMIFS(Detalle!$K$2:$K$326,Detalle!$T$2:$T$326,$B55,Detalle!$H$2:$H$326,$B56)</f>
        <v/>
      </c>
      <c r="E56" s="28">
        <f>SUMIFS(Detalle!$M$2:$M$326,Detalle!$T$2:$T$326,$B55,Detalle!$H$2:$H$326,$B56)</f>
        <v/>
      </c>
      <c r="F56" s="28">
        <f>D56+E56</f>
        <v/>
      </c>
    </row>
    <row r="57">
      <c r="B57" s="39" t="inlineStr">
        <is>
          <t>CRUDO DE RÍO X M3 - M3</t>
        </is>
      </c>
      <c r="C57" s="40">
        <f>SUMIFS(Detalle!$I$2:$I$326,Detalle!$T$2:$T$326,$B55,Detalle!$H$2:$H$326,$B57)</f>
        <v/>
      </c>
      <c r="D57" s="28">
        <f>SUMIFS(Detalle!$K$2:$K$326,Detalle!$T$2:$T$326,$B55,Detalle!$H$2:$H$326,$B57)</f>
        <v/>
      </c>
      <c r="E57" s="28">
        <f>SUMIFS(Detalle!$M$2:$M$326,Detalle!$T$2:$T$326,$B55,Detalle!$H$2:$H$326,$B57)</f>
        <v/>
      </c>
      <c r="F57" s="28">
        <f>D57+E57</f>
        <v/>
      </c>
    </row>
    <row r="58">
      <c r="B58" s="39" t="inlineStr">
        <is>
          <t>TRITURADO 3/4 - M3</t>
        </is>
      </c>
      <c r="C58" s="40">
        <f>SUMIFS(Detalle!$I$2:$I$326,Detalle!$T$2:$T$326,$B55,Detalle!$H$2:$H$326,$B58)</f>
        <v/>
      </c>
      <c r="D58" s="28">
        <f>SUMIFS(Detalle!$K$2:$K$326,Detalle!$T$2:$T$326,$B55,Detalle!$H$2:$H$326,$B58)</f>
        <v/>
      </c>
      <c r="E58" s="28">
        <f>SUMIFS(Detalle!$M$2:$M$326,Detalle!$T$2:$T$326,$B55,Detalle!$H$2:$H$326,$B58)</f>
        <v/>
      </c>
      <c r="F58" s="28">
        <f>D58+E58</f>
        <v/>
      </c>
    </row>
    <row r="59">
      <c r="B59" s="39" t="inlineStr">
        <is>
          <t>RECEBO - M3</t>
        </is>
      </c>
      <c r="C59" s="40">
        <f>SUMIFS(Detalle!$I$2:$I$326,Detalle!$T$2:$T$326,$B55,Detalle!$H$2:$H$326,$B59)</f>
        <v/>
      </c>
      <c r="D59" s="28">
        <f>SUMIFS(Detalle!$K$2:$K$326,Detalle!$T$2:$T$326,$B55,Detalle!$H$2:$H$326,$B59)</f>
        <v/>
      </c>
      <c r="E59" s="28">
        <f>SUMIFS(Detalle!$M$2:$M$326,Detalle!$T$2:$T$326,$B55,Detalle!$H$2:$H$326,$B59)</f>
        <v/>
      </c>
      <c r="F59" s="28">
        <f>D59+E59</f>
        <v/>
      </c>
    </row>
    <row r="60">
      <c r="B60" s="39" t="inlineStr">
        <is>
          <t>ARENA DE RIO METRO CUBICO - UND</t>
        </is>
      </c>
      <c r="C60" s="40">
        <f>SUMIFS(Detalle!$I$2:$I$326,Detalle!$T$2:$T$326,$B55,Detalle!$H$2:$H$326,$B60)</f>
        <v/>
      </c>
      <c r="D60" s="28">
        <f>SUMIFS(Detalle!$K$2:$K$326,Detalle!$T$2:$T$326,$B55,Detalle!$H$2:$H$326,$B60)</f>
        <v/>
      </c>
      <c r="E60" s="28">
        <f>SUMIFS(Detalle!$M$2:$M$326,Detalle!$T$2:$T$326,$B55,Detalle!$H$2:$H$326,$B60)</f>
        <v/>
      </c>
      <c r="F60" s="28">
        <f>D60+E60</f>
        <v/>
      </c>
    </row>
    <row r="61">
      <c r="B61" s="39" t="inlineStr">
        <is>
          <t>CEMENTO BLANCO X KG - UND</t>
        </is>
      </c>
      <c r="C61" s="40">
        <f>SUMIFS(Detalle!$I$2:$I$326,Detalle!$T$2:$T$326,$B55,Detalle!$H$2:$H$326,$B61)</f>
        <v/>
      </c>
      <c r="D61" s="28">
        <f>SUMIFS(Detalle!$K$2:$K$326,Detalle!$T$2:$T$326,$B55,Detalle!$H$2:$H$326,$B61)</f>
        <v/>
      </c>
      <c r="E61" s="28">
        <f>SUMIFS(Detalle!$M$2:$M$326,Detalle!$T$2:$T$326,$B55,Detalle!$H$2:$H$326,$B61)</f>
        <v/>
      </c>
      <c r="F61" s="28">
        <f>D61+E61</f>
        <v/>
      </c>
    </row>
    <row r="62">
      <c r="B62" s="39" t="inlineStr">
        <is>
          <t>TRITURADO FINO METRO CUBICO - UND</t>
        </is>
      </c>
      <c r="C62" s="40">
        <f>SUMIFS(Detalle!$I$2:$I$326,Detalle!$T$2:$T$326,$B55,Detalle!$H$2:$H$326,$B62)</f>
        <v/>
      </c>
      <c r="D62" s="28">
        <f>SUMIFS(Detalle!$K$2:$K$326,Detalle!$T$2:$T$326,$B55,Detalle!$H$2:$H$326,$B62)</f>
        <v/>
      </c>
      <c r="E62" s="28">
        <f>SUMIFS(Detalle!$M$2:$M$326,Detalle!$T$2:$T$326,$B55,Detalle!$H$2:$H$326,$B62)</f>
        <v/>
      </c>
      <c r="F62" s="28">
        <f>D62+E62</f>
        <v/>
      </c>
    </row>
    <row r="63">
      <c r="B63" s="39" t="inlineStr">
        <is>
          <t>CHIPA DE ACERO 3/8 CORRUGADA - UND</t>
        </is>
      </c>
      <c r="C63" s="40">
        <f>SUMIFS(Detalle!$I$2:$I$326,Detalle!$T$2:$T$326,$B55,Detalle!$H$2:$H$326,$B63)</f>
        <v/>
      </c>
      <c r="D63" s="28">
        <f>SUMIFS(Detalle!$K$2:$K$326,Detalle!$T$2:$T$326,$B55,Detalle!$H$2:$H$326,$B63)</f>
        <v/>
      </c>
      <c r="E63" s="28">
        <f>SUMIFS(Detalle!$M$2:$M$326,Detalle!$T$2:$T$326,$B55,Detalle!$H$2:$H$326,$B63)</f>
        <v/>
      </c>
      <c r="F63" s="28">
        <f>D63+E63</f>
        <v/>
      </c>
    </row>
    <row r="64">
      <c r="B64" s="39" t="inlineStr">
        <is>
          <t>VARILLA CORRUGADA PARA CONSTRUCCIÓN 1/2" X 6M - UND</t>
        </is>
      </c>
      <c r="C64" s="40">
        <f>SUMIFS(Detalle!$I$2:$I$326,Detalle!$T$2:$T$326,$B55,Detalle!$H$2:$H$326,$B64)</f>
        <v/>
      </c>
      <c r="D64" s="28">
        <f>SUMIFS(Detalle!$K$2:$K$326,Detalle!$T$2:$T$326,$B55,Detalle!$H$2:$H$326,$B64)</f>
        <v/>
      </c>
      <c r="E64" s="28">
        <f>SUMIFS(Detalle!$M$2:$M$326,Detalle!$T$2:$T$326,$B55,Detalle!$H$2:$H$326,$B64)</f>
        <v/>
      </c>
      <c r="F64" s="28">
        <f>D64+E64</f>
        <v/>
      </c>
    </row>
    <row r="65">
      <c r="B65" s="39" t="inlineStr">
        <is>
          <t>LADRILLO COMUN 9.5 X 11 X 21 CM - UND</t>
        </is>
      </c>
      <c r="C65" s="40">
        <f>SUMIFS(Detalle!$I$2:$I$326,Detalle!$T$2:$T$326,$B55,Detalle!$H$2:$H$326,$B65)</f>
        <v/>
      </c>
      <c r="D65" s="28">
        <f>SUMIFS(Detalle!$K$2:$K$326,Detalle!$T$2:$T$326,$B55,Detalle!$H$2:$H$326,$B65)</f>
        <v/>
      </c>
      <c r="E65" s="28">
        <f>SUMIFS(Detalle!$M$2:$M$326,Detalle!$T$2:$T$326,$B55,Detalle!$H$2:$H$326,$B65)</f>
        <v/>
      </c>
      <c r="F65" s="28">
        <f>D65+E65</f>
        <v/>
      </c>
    </row>
    <row r="66">
      <c r="B66" s="39" t="inlineStr">
        <is>
          <t>ARENA X M3 - UND</t>
        </is>
      </c>
      <c r="C66" s="40">
        <f>SUMIFS(Detalle!$I$2:$I$326,Detalle!$T$2:$T$326,$B55,Detalle!$H$2:$H$326,$B66)</f>
        <v/>
      </c>
      <c r="D66" s="28">
        <f>SUMIFS(Detalle!$K$2:$K$326,Detalle!$T$2:$T$326,$B55,Detalle!$H$2:$H$326,$B66)</f>
        <v/>
      </c>
      <c r="E66" s="28">
        <f>SUMIFS(Detalle!$M$2:$M$326,Detalle!$T$2:$T$326,$B55,Detalle!$H$2:$H$326,$B66)</f>
        <v/>
      </c>
      <c r="F66" s="28">
        <f>D66+E66</f>
        <v/>
      </c>
    </row>
    <row r="67">
      <c r="B67" s="39" t="inlineStr">
        <is>
          <t>VARILLA CORRUGADA PARA CONSTRUCCIÓN 3/8" X 6M - UND</t>
        </is>
      </c>
      <c r="C67" s="40">
        <f>SUMIFS(Detalle!$I$2:$I$326,Detalle!$T$2:$T$326,$B55,Detalle!$H$2:$H$326,$B67)</f>
        <v/>
      </c>
      <c r="D67" s="28">
        <f>SUMIFS(Detalle!$K$2:$K$326,Detalle!$T$2:$T$326,$B55,Detalle!$H$2:$H$326,$B67)</f>
        <v/>
      </c>
      <c r="E67" s="28">
        <f>SUMIFS(Detalle!$M$2:$M$326,Detalle!$T$2:$T$326,$B55,Detalle!$H$2:$H$326,$B67)</f>
        <v/>
      </c>
      <c r="F67" s="28">
        <f>D67+E67</f>
        <v/>
      </c>
    </row>
    <row r="68">
      <c r="B68" s="39" t="inlineStr">
        <is>
          <t>TABLA ORDINARIA - UND</t>
        </is>
      </c>
      <c r="C68" s="40">
        <f>SUMIFS(Detalle!$I$2:$I$326,Detalle!$T$2:$T$326,$B55,Detalle!$H$2:$H$326,$B68)</f>
        <v/>
      </c>
      <c r="D68" s="28">
        <f>SUMIFS(Detalle!$K$2:$K$326,Detalle!$T$2:$T$326,$B55,Detalle!$H$2:$H$326,$B68)</f>
        <v/>
      </c>
      <c r="E68" s="28">
        <f>SUMIFS(Detalle!$M$2:$M$326,Detalle!$T$2:$T$326,$B55,Detalle!$H$2:$H$326,$B68)</f>
        <v/>
      </c>
      <c r="F68" s="28">
        <f>D68+E68</f>
        <v/>
      </c>
    </row>
    <row r="69">
      <c r="B69" s="39" t="inlineStr">
        <is>
          <t>MALLA ELECTROSOLDADA 6MM - UND</t>
        </is>
      </c>
      <c r="C69" s="40">
        <f>SUMIFS(Detalle!$I$2:$I$326,Detalle!$T$2:$T$326,$B55,Detalle!$H$2:$H$326,$B69)</f>
        <v/>
      </c>
      <c r="D69" s="28">
        <f>SUMIFS(Detalle!$K$2:$K$326,Detalle!$T$2:$T$326,$B55,Detalle!$H$2:$H$326,$B69)</f>
        <v/>
      </c>
      <c r="E69" s="28">
        <f>SUMIFS(Detalle!$M$2:$M$326,Detalle!$T$2:$T$326,$B55,Detalle!$H$2:$H$326,$B69)</f>
        <v/>
      </c>
      <c r="F69" s="28">
        <f>D69+E69</f>
        <v/>
      </c>
    </row>
    <row r="70">
      <c r="B70" s="39" t="inlineStr">
        <is>
          <t>SUB BASE GRANULAR X M3 - M3</t>
        </is>
      </c>
      <c r="C70" s="40">
        <f>SUMIFS(Detalle!$I$2:$I$326,Detalle!$T$2:$T$326,$B55,Detalle!$H$2:$H$326,$B70)</f>
        <v/>
      </c>
      <c r="D70" s="28">
        <f>SUMIFS(Detalle!$K$2:$K$326,Detalle!$T$2:$T$326,$B55,Detalle!$H$2:$H$326,$B70)</f>
        <v/>
      </c>
      <c r="E70" s="28">
        <f>SUMIFS(Detalle!$M$2:$M$326,Detalle!$T$2:$T$326,$B55,Detalle!$H$2:$H$326,$B70)</f>
        <v/>
      </c>
      <c r="F70" s="28">
        <f>D70+E70</f>
        <v/>
      </c>
    </row>
    <row r="71">
      <c r="B71" s="39" t="inlineStr">
        <is>
          <t>ARENA DE TRITURACIÓN - M3</t>
        </is>
      </c>
      <c r="C71" s="40">
        <f>SUMIFS(Detalle!$I$2:$I$326,Detalle!$T$2:$T$326,$B55,Detalle!$H$2:$H$326,$B71)</f>
        <v/>
      </c>
      <c r="D71" s="28">
        <f>SUMIFS(Detalle!$K$2:$K$326,Detalle!$T$2:$T$326,$B55,Detalle!$H$2:$H$326,$B71)</f>
        <v/>
      </c>
      <c r="E71" s="28">
        <f>SUMIFS(Detalle!$M$2:$M$326,Detalle!$T$2:$T$326,$B55,Detalle!$H$2:$H$326,$B71)</f>
        <v/>
      </c>
      <c r="F71" s="28">
        <f>D71+E71</f>
        <v/>
      </c>
    </row>
    <row r="72">
      <c r="B72" s="39" t="inlineStr">
        <is>
          <t>CHIPA DE ACERO 1/4 CORRUGADA  - KILO</t>
        </is>
      </c>
      <c r="C72" s="40">
        <f>SUMIFS(Detalle!$I$2:$I$326,Detalle!$T$2:$T$326,$B55,Detalle!$H$2:$H$326,$B72)</f>
        <v/>
      </c>
      <c r="D72" s="28">
        <f>SUMIFS(Detalle!$K$2:$K$326,Detalle!$T$2:$T$326,$B55,Detalle!$H$2:$H$326,$B72)</f>
        <v/>
      </c>
      <c r="E72" s="28">
        <f>SUMIFS(Detalle!$M$2:$M$326,Detalle!$T$2:$T$326,$B55,Detalle!$H$2:$H$326,$B72)</f>
        <v/>
      </c>
      <c r="F72" s="28">
        <f>D72+E72</f>
        <v/>
      </c>
    </row>
    <row r="73">
      <c r="B73" s="39" t="inlineStr">
        <is>
          <t>DISCO PARA CORTE DE CONCRETO EN EJE 7/8" (DIAMETRO 7") - UND</t>
        </is>
      </c>
      <c r="C73" s="40">
        <f>SUMIFS(Detalle!$I$2:$I$326,Detalle!$T$2:$T$326,$B55,Detalle!$H$2:$H$326,$B73)</f>
        <v/>
      </c>
      <c r="D73" s="28">
        <f>SUMIFS(Detalle!$K$2:$K$326,Detalle!$T$2:$T$326,$B55,Detalle!$H$2:$H$326,$B73)</f>
        <v/>
      </c>
      <c r="E73" s="28">
        <f>SUMIFS(Detalle!$M$2:$M$326,Detalle!$T$2:$T$326,$B55,Detalle!$H$2:$H$326,$B73)</f>
        <v/>
      </c>
      <c r="F73" s="28">
        <f>D73+E73</f>
        <v/>
      </c>
    </row>
    <row r="74">
      <c r="B74" s="20" t="inlineStr">
        <is>
          <t>Inversores</t>
        </is>
      </c>
      <c r="C74" s="38">
        <f>SUMIFS(Detalle!$I$2:$I$326,Detalle!$T$2:$T$326,$B74)</f>
        <v/>
      </c>
      <c r="D74" s="21">
        <f>SUMIFS(Detalle!$K$2:$K$326,Detalle!$T$2:$T$326,$B74)</f>
        <v/>
      </c>
      <c r="E74" s="21">
        <f>SUMIFS(Detalle!$M$2:$M$326,Detalle!$T$2:$T$326,$B74)</f>
        <v/>
      </c>
      <c r="F74" s="21">
        <f>D74+E74</f>
        <v/>
      </c>
    </row>
    <row r="75">
      <c r="B75" s="39" t="inlineStr">
        <is>
          <t>HUAWEI SIN2000 - 330 KTL - H1 (INVERSOR) - UND</t>
        </is>
      </c>
      <c r="C75" s="40">
        <f>SUMIFS(Detalle!$I$2:$I$326,Detalle!$T$2:$T$326,$B74,Detalle!$H$2:$H$326,$B75)</f>
        <v/>
      </c>
      <c r="D75" s="28">
        <f>SUMIFS(Detalle!$K$2:$K$326,Detalle!$T$2:$T$326,$B74,Detalle!$H$2:$H$326,$B75)</f>
        <v/>
      </c>
      <c r="E75" s="28">
        <f>SUMIFS(Detalle!$M$2:$M$326,Detalle!$T$2:$T$326,$B74,Detalle!$H$2:$H$326,$B75)</f>
        <v/>
      </c>
      <c r="F75" s="28">
        <f>D75+E75</f>
        <v/>
      </c>
    </row>
    <row r="76">
      <c r="B76" s="39" t="inlineStr">
        <is>
          <t>HUAWEI SUN2000 - 50 KTL - M3 (INVERSOR) - UND</t>
        </is>
      </c>
      <c r="C76" s="40">
        <f>SUMIFS(Detalle!$I$2:$I$326,Detalle!$T$2:$T$326,$B74,Detalle!$H$2:$H$326,$B76)</f>
        <v/>
      </c>
      <c r="D76" s="28">
        <f>SUMIFS(Detalle!$K$2:$K$326,Detalle!$T$2:$T$326,$B74,Detalle!$H$2:$H$326,$B76)</f>
        <v/>
      </c>
      <c r="E76" s="28">
        <f>SUMIFS(Detalle!$M$2:$M$326,Detalle!$T$2:$T$326,$B74,Detalle!$H$2:$H$326,$B76)</f>
        <v/>
      </c>
      <c r="F76" s="28">
        <f>D76+E76</f>
        <v/>
      </c>
    </row>
    <row r="77">
      <c r="B77" s="39" t="inlineStr">
        <is>
          <t>HUAWEI SUN2000 - 40 KTL - M3 (INVERSOR) - UND</t>
        </is>
      </c>
      <c r="C77" s="40">
        <f>SUMIFS(Detalle!$I$2:$I$326,Detalle!$T$2:$T$326,$B74,Detalle!$H$2:$H$326,$B77)</f>
        <v/>
      </c>
      <c r="D77" s="28">
        <f>SUMIFS(Detalle!$K$2:$K$326,Detalle!$T$2:$T$326,$B74,Detalle!$H$2:$H$326,$B77)</f>
        <v/>
      </c>
      <c r="E77" s="28">
        <f>SUMIFS(Detalle!$M$2:$M$326,Detalle!$T$2:$T$326,$B74,Detalle!$H$2:$H$326,$B77)</f>
        <v/>
      </c>
      <c r="F77" s="28">
        <f>D77+E77</f>
        <v/>
      </c>
    </row>
    <row r="78">
      <c r="B78" s="39" t="inlineStr">
        <is>
          <t>SUMINISTRO DE SOPORTES INVERSORES EXTERNOS EN TUBO DE 100X100-1.5MM - UND</t>
        </is>
      </c>
      <c r="C78" s="40">
        <f>SUMIFS(Detalle!$I$2:$I$326,Detalle!$T$2:$T$326,$B74,Detalle!$H$2:$H$326,$B78)</f>
        <v/>
      </c>
      <c r="D78" s="28">
        <f>SUMIFS(Detalle!$K$2:$K$326,Detalle!$T$2:$T$326,$B74,Detalle!$H$2:$H$326,$B78)</f>
        <v/>
      </c>
      <c r="E78" s="28">
        <f>SUMIFS(Detalle!$M$2:$M$326,Detalle!$T$2:$T$326,$B74,Detalle!$H$2:$H$326,$B78)</f>
        <v/>
      </c>
      <c r="F78" s="28">
        <f>D78+E78</f>
        <v/>
      </c>
    </row>
    <row r="79">
      <c r="B79" s="39" t="inlineStr">
        <is>
          <t>SUMINISTRO DE SOPORTES INVERSORES INTERNOS EN TUBO DE 3X1 1/2" CAL. 16 - UND</t>
        </is>
      </c>
      <c r="C79" s="40">
        <f>SUMIFS(Detalle!$I$2:$I$326,Detalle!$T$2:$T$326,$B74,Detalle!$H$2:$H$326,$B79)</f>
        <v/>
      </c>
      <c r="D79" s="28">
        <f>SUMIFS(Detalle!$K$2:$K$326,Detalle!$T$2:$T$326,$B74,Detalle!$H$2:$H$326,$B79)</f>
        <v/>
      </c>
      <c r="E79" s="28">
        <f>SUMIFS(Detalle!$M$2:$M$326,Detalle!$T$2:$T$326,$B74,Detalle!$H$2:$H$326,$B79)</f>
        <v/>
      </c>
      <c r="F79" s="28">
        <f>D79+E79</f>
        <v/>
      </c>
    </row>
    <row r="80">
      <c r="B80" s="39" t="inlineStr">
        <is>
          <t>SUMINISTRO DE PLATINAS BASE PARA SOPORTES DE INVERSORES EXTERIORES DE 0.15X0.15 MTS CAL. 1/4" - UND</t>
        </is>
      </c>
      <c r="C80" s="40">
        <f>SUMIFS(Detalle!$I$2:$I$326,Detalle!$T$2:$T$326,$B74,Detalle!$H$2:$H$326,$B80)</f>
        <v/>
      </c>
      <c r="D80" s="28">
        <f>SUMIFS(Detalle!$K$2:$K$326,Detalle!$T$2:$T$326,$B74,Detalle!$H$2:$H$326,$B80)</f>
        <v/>
      </c>
      <c r="E80" s="28">
        <f>SUMIFS(Detalle!$M$2:$M$326,Detalle!$T$2:$T$326,$B74,Detalle!$H$2:$H$326,$B80)</f>
        <v/>
      </c>
      <c r="F80" s="28">
        <f>D80+E80</f>
        <v/>
      </c>
    </row>
    <row r="81">
      <c r="B81" s="20" t="inlineStr">
        <is>
          <t>Cableado y conductores</t>
        </is>
      </c>
      <c r="C81" s="38">
        <f>SUMIFS(Detalle!$I$2:$I$326,Detalle!$T$2:$T$326,$B81)</f>
        <v/>
      </c>
      <c r="D81" s="21">
        <f>SUMIFS(Detalle!$K$2:$K$326,Detalle!$T$2:$T$326,$B81)</f>
        <v/>
      </c>
      <c r="E81" s="21">
        <f>SUMIFS(Detalle!$M$2:$M$326,Detalle!$T$2:$T$326,$B81)</f>
        <v/>
      </c>
      <c r="F81" s="21">
        <f>D81+E81</f>
        <v/>
      </c>
    </row>
    <row r="82">
      <c r="B82" s="39" t="inlineStr">
        <is>
          <t>CABLE SOLAR 4mm NEGRO (PROCABLES) 1014-31399000601C - UND</t>
        </is>
      </c>
      <c r="C82" s="40">
        <f>SUMIFS(Detalle!$I$2:$I$326,Detalle!$T$2:$T$326,$B81,Detalle!$H$2:$H$326,$B82)</f>
        <v/>
      </c>
      <c r="D82" s="28">
        <f>SUMIFS(Detalle!$K$2:$K$326,Detalle!$T$2:$T$326,$B81,Detalle!$H$2:$H$326,$B82)</f>
        <v/>
      </c>
      <c r="E82" s="28">
        <f>SUMIFS(Detalle!$M$2:$M$326,Detalle!$T$2:$T$326,$B81,Detalle!$H$2:$H$326,$B82)</f>
        <v/>
      </c>
      <c r="F82" s="28">
        <f>D82+E82</f>
        <v/>
      </c>
    </row>
    <row r="83">
      <c r="B83" s="39" t="inlineStr">
        <is>
          <t>CABLE CU 500KCMIL CENTELFLEX (253mm²) 6/1kV - UND</t>
        </is>
      </c>
      <c r="C83" s="40">
        <f>SUMIFS(Detalle!$I$2:$I$326,Detalle!$T$2:$T$326,$B81,Detalle!$H$2:$H$326,$B83)</f>
        <v/>
      </c>
      <c r="D83" s="28">
        <f>SUMIFS(Detalle!$K$2:$K$326,Detalle!$T$2:$T$326,$B81,Detalle!$H$2:$H$326,$B83)</f>
        <v/>
      </c>
      <c r="E83" s="28">
        <f>SUMIFS(Detalle!$M$2:$M$326,Detalle!$T$2:$T$326,$B81,Detalle!$H$2:$H$326,$B83)</f>
        <v/>
      </c>
      <c r="F83" s="28">
        <f>D83+E83</f>
        <v/>
      </c>
    </row>
    <row r="84">
      <c r="B84" s="39" t="inlineStr">
        <is>
          <t>CABLE CU DESNUDO 1/0 AWG 19H - UND</t>
        </is>
      </c>
      <c r="C84" s="40">
        <f>SUMIFS(Detalle!$I$2:$I$326,Detalle!$T$2:$T$326,$B81,Detalle!$H$2:$H$326,$B84)</f>
        <v/>
      </c>
      <c r="D84" s="28">
        <f>SUMIFS(Detalle!$K$2:$K$326,Detalle!$T$2:$T$326,$B81,Detalle!$H$2:$H$326,$B84)</f>
        <v/>
      </c>
      <c r="E84" s="28">
        <f>SUMIFS(Detalle!$M$2:$M$326,Detalle!$T$2:$T$326,$B81,Detalle!$H$2:$H$326,$B84)</f>
        <v/>
      </c>
      <c r="F84" s="28">
        <f>D84+E84</f>
        <v/>
      </c>
    </row>
    <row r="85">
      <c r="B85" s="39" t="inlineStr">
        <is>
          <t>CABLE CU 1/0 AWG X METRO - UND</t>
        </is>
      </c>
      <c r="C85" s="40">
        <f>SUMIFS(Detalle!$I$2:$I$326,Detalle!$T$2:$T$326,$B81,Detalle!$H$2:$H$326,$B85)</f>
        <v/>
      </c>
      <c r="D85" s="28">
        <f>SUMIFS(Detalle!$K$2:$K$326,Detalle!$T$2:$T$326,$B81,Detalle!$H$2:$H$326,$B85)</f>
        <v/>
      </c>
      <c r="E85" s="28">
        <f>SUMIFS(Detalle!$M$2:$M$326,Detalle!$T$2:$T$326,$B81,Detalle!$H$2:$H$326,$B85)</f>
        <v/>
      </c>
      <c r="F85" s="28">
        <f>D85+E85</f>
        <v/>
      </c>
    </row>
    <row r="86">
      <c r="B86" s="39" t="inlineStr">
        <is>
          <t>CABLE SIETE HILOS CU 6 NEGRO X METRO - UND</t>
        </is>
      </c>
      <c r="C86" s="40">
        <f>SUMIFS(Detalle!$I$2:$I$326,Detalle!$T$2:$T$326,$B81,Detalle!$H$2:$H$326,$B86)</f>
        <v/>
      </c>
      <c r="D86" s="28">
        <f>SUMIFS(Detalle!$K$2:$K$326,Detalle!$T$2:$T$326,$B81,Detalle!$H$2:$H$326,$B86)</f>
        <v/>
      </c>
      <c r="E86" s="28">
        <f>SUMIFS(Detalle!$M$2:$M$326,Detalle!$T$2:$T$326,$B81,Detalle!$H$2:$H$326,$B86)</f>
        <v/>
      </c>
      <c r="F86" s="28">
        <f>D86+E86</f>
        <v/>
      </c>
    </row>
    <row r="87">
      <c r="B87" s="39" t="inlineStr">
        <is>
          <t>BORNA 500 MCM TERMINAL BIMETALICA - CILES - UND</t>
        </is>
      </c>
      <c r="C87" s="40">
        <f>SUMIFS(Detalle!$I$2:$I$326,Detalle!$T$2:$T$326,$B81,Detalle!$H$2:$H$326,$B87)</f>
        <v/>
      </c>
      <c r="D87" s="28">
        <f>SUMIFS(Detalle!$K$2:$K$326,Detalle!$T$2:$T$326,$B81,Detalle!$H$2:$H$326,$B87)</f>
        <v/>
      </c>
      <c r="E87" s="28">
        <f>SUMIFS(Detalle!$M$2:$M$326,Detalle!$T$2:$T$326,$B81,Detalle!$H$2:$H$326,$B87)</f>
        <v/>
      </c>
      <c r="F87" s="28">
        <f>D87+E87</f>
        <v/>
      </c>
    </row>
    <row r="88">
      <c r="B88" s="39" t="inlineStr">
        <is>
          <t>CABLE AL 1/0  X METRO - UND</t>
        </is>
      </c>
      <c r="C88" s="40">
        <f>SUMIFS(Detalle!$I$2:$I$326,Detalle!$T$2:$T$326,$B81,Detalle!$H$2:$H$326,$B88)</f>
        <v/>
      </c>
      <c r="D88" s="28">
        <f>SUMIFS(Detalle!$K$2:$K$326,Detalle!$T$2:$T$326,$B81,Detalle!$H$2:$H$326,$B88)</f>
        <v/>
      </c>
      <c r="E88" s="28">
        <f>SUMIFS(Detalle!$M$2:$M$326,Detalle!$T$2:$T$326,$B81,Detalle!$H$2:$H$326,$B88)</f>
        <v/>
      </c>
      <c r="F88" s="28">
        <f>D88+E88</f>
        <v/>
      </c>
    </row>
    <row r="89">
      <c r="B89" s="39" t="inlineStr">
        <is>
          <t>TERMINAL PREMOLDEADO 15KV INTERIOR 3-3/0 REF 5623K QTII (PRO 2-4/0) (CEN 2-3/0)3M - UND</t>
        </is>
      </c>
      <c r="C89" s="40">
        <f>SUMIFS(Detalle!$I$2:$I$326,Detalle!$T$2:$T$326,$B81,Detalle!$H$2:$H$326,$B89)</f>
        <v/>
      </c>
      <c r="D89" s="28">
        <f>SUMIFS(Detalle!$K$2:$K$326,Detalle!$T$2:$T$326,$B81,Detalle!$H$2:$H$326,$B89)</f>
        <v/>
      </c>
      <c r="E89" s="28">
        <f>SUMIFS(Detalle!$M$2:$M$326,Detalle!$T$2:$T$326,$B81,Detalle!$H$2:$H$326,$B89)</f>
        <v/>
      </c>
      <c r="F89" s="28">
        <f>D89+E89</f>
        <v/>
      </c>
    </row>
    <row r="90">
      <c r="B90" s="39" t="inlineStr">
        <is>
          <t>TERMINAL PREMOLDEADO 15KV EXTERIOR 2-4/0 REF 5633K QTII (PRO 2-4/0) (CEN 2-4/0) 3M - UND</t>
        </is>
      </c>
      <c r="C90" s="40">
        <f>SUMIFS(Detalle!$I$2:$I$326,Detalle!$T$2:$T$326,$B81,Detalle!$H$2:$H$326,$B90)</f>
        <v/>
      </c>
      <c r="D90" s="28">
        <f>SUMIFS(Detalle!$K$2:$K$326,Detalle!$T$2:$T$326,$B81,Detalle!$H$2:$H$326,$B90)</f>
        <v/>
      </c>
      <c r="E90" s="28">
        <f>SUMIFS(Detalle!$M$2:$M$326,Detalle!$T$2:$T$326,$B81,Detalle!$H$2:$H$326,$B90)</f>
        <v/>
      </c>
      <c r="F90" s="28">
        <f>D90+E90</f>
        <v/>
      </c>
    </row>
    <row r="91">
      <c r="B91" s="39" t="inlineStr">
        <is>
          <t>BORNA 500 MCM TERMINAL 1/H 31067 3M - UND</t>
        </is>
      </c>
      <c r="C91" s="40">
        <f>SUMIFS(Detalle!$I$2:$I$326,Detalle!$T$2:$T$326,$B81,Detalle!$H$2:$H$326,$B91)</f>
        <v/>
      </c>
      <c r="D91" s="28">
        <f>SUMIFS(Detalle!$K$2:$K$326,Detalle!$T$2:$T$326,$B81,Detalle!$H$2:$H$326,$B91)</f>
        <v/>
      </c>
      <c r="E91" s="28">
        <f>SUMIFS(Detalle!$M$2:$M$326,Detalle!$T$2:$T$326,$B81,Detalle!$H$2:$H$326,$B91)</f>
        <v/>
      </c>
      <c r="F91" s="28">
        <f>D91+E91</f>
        <v/>
      </c>
    </row>
    <row r="92">
      <c r="B92" s="39" t="inlineStr">
        <is>
          <t>CONECTOR MC4 EN JUEGO  - UND</t>
        </is>
      </c>
      <c r="C92" s="40">
        <f>SUMIFS(Detalle!$I$2:$I$326,Detalle!$T$2:$T$326,$B81,Detalle!$H$2:$H$326,$B92)</f>
        <v/>
      </c>
      <c r="D92" s="28">
        <f>SUMIFS(Detalle!$K$2:$K$326,Detalle!$T$2:$T$326,$B81,Detalle!$H$2:$H$326,$B92)</f>
        <v/>
      </c>
      <c r="E92" s="28">
        <f>SUMIFS(Detalle!$M$2:$M$326,Detalle!$T$2:$T$326,$B81,Detalle!$H$2:$H$326,$B92)</f>
        <v/>
      </c>
      <c r="F92" s="28">
        <f>D92+E92</f>
        <v/>
      </c>
    </row>
    <row r="93">
      <c r="B93" s="39" t="inlineStr">
        <is>
          <t>BANDEJA PORTACABLE TIPO ESCALERA SEMIPESADA 15 BARROTES 50 X 8 X 24 MT GALV/CALIENTE - GALCO - UND</t>
        </is>
      </c>
      <c r="C93" s="40">
        <f>SUMIFS(Detalle!$I$2:$I$326,Detalle!$T$2:$T$326,$B81,Detalle!$H$2:$H$326,$B93)</f>
        <v/>
      </c>
      <c r="D93" s="28">
        <f>SUMIFS(Detalle!$K$2:$K$326,Detalle!$T$2:$T$326,$B81,Detalle!$H$2:$H$326,$B93)</f>
        <v/>
      </c>
      <c r="E93" s="28">
        <f>SUMIFS(Detalle!$M$2:$M$326,Detalle!$T$2:$T$326,$B81,Detalle!$H$2:$H$326,$B93)</f>
        <v/>
      </c>
      <c r="F93" s="28">
        <f>D93+E93</f>
        <v/>
      </c>
    </row>
    <row r="94">
      <c r="B94" s="39" t="inlineStr">
        <is>
          <t>CABLE CU 12 NEGRO THHN/THWN AISLA NYLON (PROCABLES-BOBINA) 1002- 3135308100-001B - UND</t>
        </is>
      </c>
      <c r="C94" s="40">
        <f>SUMIFS(Detalle!$I$2:$I$326,Detalle!$T$2:$T$326,$B81,Detalle!$H$2:$H$326,$B94)</f>
        <v/>
      </c>
      <c r="D94" s="28">
        <f>SUMIFS(Detalle!$K$2:$K$326,Detalle!$T$2:$T$326,$B81,Detalle!$H$2:$H$326,$B94)</f>
        <v/>
      </c>
      <c r="E94" s="28">
        <f>SUMIFS(Detalle!$M$2:$M$326,Detalle!$T$2:$T$326,$B81,Detalle!$H$2:$H$326,$B94)</f>
        <v/>
      </c>
      <c r="F94" s="28">
        <f>D94+E94</f>
        <v/>
      </c>
    </row>
    <row r="95">
      <c r="B95" s="39" t="inlineStr">
        <is>
          <t>ALAMBRE DE AMARRE X KG - UND</t>
        </is>
      </c>
      <c r="C95" s="40">
        <f>SUMIFS(Detalle!$I$2:$I$326,Detalle!$T$2:$T$326,$B81,Detalle!$H$2:$H$326,$B95)</f>
        <v/>
      </c>
      <c r="D95" s="28">
        <f>SUMIFS(Detalle!$K$2:$K$326,Detalle!$T$2:$T$326,$B81,Detalle!$H$2:$H$326,$B95)</f>
        <v/>
      </c>
      <c r="E95" s="28">
        <f>SUMIFS(Detalle!$M$2:$M$326,Detalle!$T$2:$T$326,$B81,Detalle!$H$2:$H$326,$B95)</f>
        <v/>
      </c>
      <c r="F95" s="28">
        <f>D95+E95</f>
        <v/>
      </c>
    </row>
    <row r="96">
      <c r="B96" s="39" t="inlineStr">
        <is>
          <t>CONECTOR RECTO DE CORAZA  3" - UND</t>
        </is>
      </c>
      <c r="C96" s="40">
        <f>SUMIFS(Detalle!$I$2:$I$326,Detalle!$T$2:$T$326,$B81,Detalle!$H$2:$H$326,$B96)</f>
        <v/>
      </c>
      <c r="D96" s="28">
        <f>SUMIFS(Detalle!$K$2:$K$326,Detalle!$T$2:$T$326,$B81,Detalle!$H$2:$H$326,$B96)</f>
        <v/>
      </c>
      <c r="E96" s="28">
        <f>SUMIFS(Detalle!$M$2:$M$326,Detalle!$T$2:$T$326,$B81,Detalle!$H$2:$H$326,$B96)</f>
        <v/>
      </c>
      <c r="F96" s="28">
        <f>D96+E96</f>
        <v/>
      </c>
    </row>
    <row r="97">
      <c r="B97" s="39" t="inlineStr">
        <is>
          <t>BANDEJA PORTACABLE TIPO ESCALERA 20X8X2.401305-CM GALVANIZADA - UND</t>
        </is>
      </c>
      <c r="C97" s="40">
        <f>SUMIFS(Detalle!$I$2:$I$326,Detalle!$T$2:$T$326,$B81,Detalle!$H$2:$H$326,$B97)</f>
        <v/>
      </c>
      <c r="D97" s="28">
        <f>SUMIFS(Detalle!$K$2:$K$326,Detalle!$T$2:$T$326,$B81,Detalle!$H$2:$H$326,$B97)</f>
        <v/>
      </c>
      <c r="E97" s="28">
        <f>SUMIFS(Detalle!$M$2:$M$326,Detalle!$T$2:$T$326,$B81,Detalle!$H$2:$H$326,$B97)</f>
        <v/>
      </c>
      <c r="F97" s="28">
        <f>D97+E97</f>
        <v/>
      </c>
    </row>
    <row r="98">
      <c r="B98" s="39" t="inlineStr">
        <is>
          <t>CORAZA AMERICANA 2" - UND</t>
        </is>
      </c>
      <c r="C98" s="40">
        <f>SUMIFS(Detalle!$I$2:$I$326,Detalle!$T$2:$T$326,$B81,Detalle!$H$2:$H$326,$B98)</f>
        <v/>
      </c>
      <c r="D98" s="28">
        <f>SUMIFS(Detalle!$K$2:$K$326,Detalle!$T$2:$T$326,$B81,Detalle!$H$2:$H$326,$B98)</f>
        <v/>
      </c>
      <c r="E98" s="28">
        <f>SUMIFS(Detalle!$M$2:$M$326,Detalle!$T$2:$T$326,$B81,Detalle!$H$2:$H$326,$B98)</f>
        <v/>
      </c>
      <c r="F98" s="28">
        <f>D98+E98</f>
        <v/>
      </c>
    </row>
    <row r="99">
      <c r="B99" s="39" t="inlineStr">
        <is>
          <t>MARCADOR P/MULTICONDUCTORES 500 DEXSON 2103-DXN2601I - UND</t>
        </is>
      </c>
      <c r="C99" s="40">
        <f>SUMIFS(Detalle!$I$2:$I$326,Detalle!$T$2:$T$326,$B81,Detalle!$H$2:$H$326,$B99)</f>
        <v/>
      </c>
      <c r="D99" s="28">
        <f>SUMIFS(Detalle!$K$2:$K$326,Detalle!$T$2:$T$326,$B81,Detalle!$H$2:$H$326,$B99)</f>
        <v/>
      </c>
      <c r="E99" s="28">
        <f>SUMIFS(Detalle!$M$2:$M$326,Detalle!$T$2:$T$326,$B81,Detalle!$H$2:$H$326,$B99)</f>
        <v/>
      </c>
      <c r="F99" s="28">
        <f>D99+E99</f>
        <v/>
      </c>
    </row>
    <row r="100">
      <c r="B100" s="39" t="inlineStr">
        <is>
          <t>MOLDE EN T 1/0-1/0 CABLE - CABLE - GROUNDING - UND</t>
        </is>
      </c>
      <c r="C100" s="40">
        <f>SUMIFS(Detalle!$I$2:$I$326,Detalle!$T$2:$T$326,$B81,Detalle!$H$2:$H$326,$B100)</f>
        <v/>
      </c>
      <c r="D100" s="28">
        <f>SUMIFS(Detalle!$K$2:$K$326,Detalle!$T$2:$T$326,$B81,Detalle!$H$2:$H$326,$B100)</f>
        <v/>
      </c>
      <c r="E100" s="28">
        <f>SUMIFS(Detalle!$M$2:$M$326,Detalle!$T$2:$T$326,$B81,Detalle!$H$2:$H$326,$B100)</f>
        <v/>
      </c>
      <c r="F100" s="28">
        <f>D100+E100</f>
        <v/>
      </c>
    </row>
    <row r="101">
      <c r="B101" s="39" t="inlineStr">
        <is>
          <t>CABLE AL 2 AWG  X METRO - UND</t>
        </is>
      </c>
      <c r="C101" s="40">
        <f>SUMIFS(Detalle!$I$2:$I$326,Detalle!$T$2:$T$326,$B81,Detalle!$H$2:$H$326,$B101)</f>
        <v/>
      </c>
      <c r="D101" s="28">
        <f>SUMIFS(Detalle!$K$2:$K$326,Detalle!$T$2:$T$326,$B81,Detalle!$H$2:$H$326,$B101)</f>
        <v/>
      </c>
      <c r="E101" s="28">
        <f>SUMIFS(Detalle!$M$2:$M$326,Detalle!$T$2:$T$326,$B81,Detalle!$H$2:$H$326,$B101)</f>
        <v/>
      </c>
      <c r="F101" s="28">
        <f>D101+E101</f>
        <v/>
      </c>
    </row>
    <row r="102">
      <c r="B102" s="39" t="inlineStr">
        <is>
          <t>CABLE UTP CAT 6  INTERIOR LSZH  GRIS X 1000 MTS EVSOLUTIONS - UND</t>
        </is>
      </c>
      <c r="C102" s="40">
        <f>SUMIFS(Detalle!$I$2:$I$326,Detalle!$T$2:$T$326,$B81,Detalle!$H$2:$H$326,$B102)</f>
        <v/>
      </c>
      <c r="D102" s="28">
        <f>SUMIFS(Detalle!$K$2:$K$326,Detalle!$T$2:$T$326,$B81,Detalle!$H$2:$H$326,$B102)</f>
        <v/>
      </c>
      <c r="E102" s="28">
        <f>SUMIFS(Detalle!$M$2:$M$326,Detalle!$T$2:$T$326,$B81,Detalle!$H$2:$H$326,$B102)</f>
        <v/>
      </c>
      <c r="F102" s="28">
        <f>D102+E102</f>
        <v/>
      </c>
    </row>
    <row r="103">
      <c r="B103" s="39" t="inlineStr">
        <is>
          <t>CONECTOR RECTO DE CORAZA  2" - UND</t>
        </is>
      </c>
      <c r="C103" s="40">
        <f>SUMIFS(Detalle!$I$2:$I$326,Detalle!$T$2:$T$326,$B81,Detalle!$H$2:$H$326,$B103)</f>
        <v/>
      </c>
      <c r="D103" s="28">
        <f>SUMIFS(Detalle!$K$2:$K$326,Detalle!$T$2:$T$326,$B81,Detalle!$H$2:$H$326,$B103)</f>
        <v/>
      </c>
      <c r="E103" s="28">
        <f>SUMIFS(Detalle!$M$2:$M$326,Detalle!$T$2:$T$326,$B81,Detalle!$H$2:$H$326,$B103)</f>
        <v/>
      </c>
      <c r="F103" s="28">
        <f>D103+E103</f>
        <v/>
      </c>
    </row>
    <row r="104">
      <c r="B104" s="39" t="inlineStr">
        <is>
          <t>CABLE VEHICULAR CU 16 NEGRO X METRO - UND</t>
        </is>
      </c>
      <c r="C104" s="40">
        <f>SUMIFS(Detalle!$I$2:$I$326,Detalle!$T$2:$T$326,$B81,Detalle!$H$2:$H$326,$B104)</f>
        <v/>
      </c>
      <c r="D104" s="28">
        <f>SUMIFS(Detalle!$K$2:$K$326,Detalle!$T$2:$T$326,$B81,Detalle!$H$2:$H$326,$B104)</f>
        <v/>
      </c>
      <c r="E104" s="28">
        <f>SUMIFS(Detalle!$M$2:$M$326,Detalle!$T$2:$T$326,$B81,Detalle!$H$2:$H$326,$B104)</f>
        <v/>
      </c>
      <c r="F104" s="28">
        <f>D104+E104</f>
        <v/>
      </c>
    </row>
    <row r="105">
      <c r="B105" s="39" t="inlineStr">
        <is>
          <t>BORNA 6 AWG TERMINAL 1/H T/AMERICANO - UND</t>
        </is>
      </c>
      <c r="C105" s="40">
        <f>SUMIFS(Detalle!$I$2:$I$326,Detalle!$T$2:$T$326,$B81,Detalle!$H$2:$H$326,$B105)</f>
        <v/>
      </c>
      <c r="D105" s="28">
        <f>SUMIFS(Detalle!$K$2:$K$326,Detalle!$T$2:$T$326,$B81,Detalle!$H$2:$H$326,$B105)</f>
        <v/>
      </c>
      <c r="E105" s="28">
        <f>SUMIFS(Detalle!$M$2:$M$326,Detalle!$T$2:$T$326,$B81,Detalle!$H$2:$H$326,$B105)</f>
        <v/>
      </c>
      <c r="F105" s="28">
        <f>D105+E105</f>
        <v/>
      </c>
    </row>
    <row r="106">
      <c r="B106" s="39" t="inlineStr">
        <is>
          <t>UNION BANDEJA PORTACABLE GALVANIZADA - UND</t>
        </is>
      </c>
      <c r="C106" s="40">
        <f>SUMIFS(Detalle!$I$2:$I$326,Detalle!$T$2:$T$326,$B81,Detalle!$H$2:$H$326,$B106)</f>
        <v/>
      </c>
      <c r="D106" s="28">
        <f>SUMIFS(Detalle!$K$2:$K$326,Detalle!$T$2:$T$326,$B81,Detalle!$H$2:$H$326,$B106)</f>
        <v/>
      </c>
      <c r="E106" s="28">
        <f>SUMIFS(Detalle!$M$2:$M$326,Detalle!$T$2:$T$326,$B81,Detalle!$H$2:$H$326,$B106)</f>
        <v/>
      </c>
      <c r="F106" s="28">
        <f>D106+E106</f>
        <v/>
      </c>
    </row>
    <row r="107">
      <c r="B107" s="39" t="inlineStr">
        <is>
          <t>CONECTOR  BIMETALUCO 1 PERNO 6-2-0 1021B - UND</t>
        </is>
      </c>
      <c r="C107" s="40">
        <f>SUMIFS(Detalle!$I$2:$I$326,Detalle!$T$2:$T$326,$B81,Detalle!$H$2:$H$326,$B107)</f>
        <v/>
      </c>
      <c r="D107" s="28">
        <f>SUMIFS(Detalle!$K$2:$K$326,Detalle!$T$2:$T$326,$B81,Detalle!$H$2:$H$326,$B107)</f>
        <v/>
      </c>
      <c r="E107" s="28">
        <f>SUMIFS(Detalle!$M$2:$M$326,Detalle!$T$2:$T$326,$B81,Detalle!$H$2:$H$326,$B107)</f>
        <v/>
      </c>
      <c r="F107" s="28">
        <f>D107+E107</f>
        <v/>
      </c>
    </row>
    <row r="108">
      <c r="B108" s="39" t="inlineStr">
        <is>
          <t>BORNA 1/0 TERMINAL BIMETALICA - CILES - UND</t>
        </is>
      </c>
      <c r="C108" s="40">
        <f>SUMIFS(Detalle!$I$2:$I$326,Detalle!$T$2:$T$326,$B81,Detalle!$H$2:$H$326,$B108)</f>
        <v/>
      </c>
      <c r="D108" s="28">
        <f>SUMIFS(Detalle!$K$2:$K$326,Detalle!$T$2:$T$326,$B81,Detalle!$H$2:$H$326,$B108)</f>
        <v/>
      </c>
      <c r="E108" s="28">
        <f>SUMIFS(Detalle!$M$2:$M$326,Detalle!$T$2:$T$326,$B81,Detalle!$H$2:$H$326,$B108)</f>
        <v/>
      </c>
      <c r="F108" s="28">
        <f>D108+E108</f>
        <v/>
      </c>
    </row>
    <row r="109">
      <c r="B109" s="39" t="inlineStr">
        <is>
          <t>BORNERA 2 AWG BIMETÁLICA CILES PALA ANGOSTA - UND</t>
        </is>
      </c>
      <c r="C109" s="40">
        <f>SUMIFS(Detalle!$I$2:$I$326,Detalle!$T$2:$T$326,$B81,Detalle!$H$2:$H$326,$B109)</f>
        <v/>
      </c>
      <c r="D109" s="28">
        <f>SUMIFS(Detalle!$K$2:$K$326,Detalle!$T$2:$T$326,$B81,Detalle!$H$2:$H$326,$B109)</f>
        <v/>
      </c>
      <c r="E109" s="28">
        <f>SUMIFS(Detalle!$M$2:$M$326,Detalle!$T$2:$T$326,$B81,Detalle!$H$2:$H$326,$B109)</f>
        <v/>
      </c>
      <c r="F109" s="28">
        <f>D109+E109</f>
        <v/>
      </c>
    </row>
    <row r="110">
      <c r="B110" s="39" t="inlineStr">
        <is>
          <t>BORNA 1/0 AWG TERMINAL 1/H T/AMERICANO - UND</t>
        </is>
      </c>
      <c r="C110" s="40">
        <f>SUMIFS(Detalle!$I$2:$I$326,Detalle!$T$2:$T$326,$B81,Detalle!$H$2:$H$326,$B110)</f>
        <v/>
      </c>
      <c r="D110" s="28">
        <f>SUMIFS(Detalle!$K$2:$K$326,Detalle!$T$2:$T$326,$B81,Detalle!$H$2:$H$326,$B110)</f>
        <v/>
      </c>
      <c r="E110" s="28">
        <f>SUMIFS(Detalle!$M$2:$M$326,Detalle!$T$2:$T$326,$B81,Detalle!$H$2:$H$326,$B110)</f>
        <v/>
      </c>
      <c r="F110" s="28">
        <f>D110+E110</f>
        <v/>
      </c>
    </row>
    <row r="111">
      <c r="B111" s="39" t="inlineStr">
        <is>
          <t>CABLE CU ENCAUCHETADO 3X12 AWG 600V - UND</t>
        </is>
      </c>
      <c r="C111" s="40">
        <f>SUMIFS(Detalle!$I$2:$I$326,Detalle!$T$2:$T$326,$B81,Detalle!$H$2:$H$326,$B111)</f>
        <v/>
      </c>
      <c r="D111" s="28">
        <f>SUMIFS(Detalle!$K$2:$K$326,Detalle!$T$2:$T$326,$B81,Detalle!$H$2:$H$326,$B111)</f>
        <v/>
      </c>
      <c r="E111" s="28">
        <f>SUMIFS(Detalle!$M$2:$M$326,Detalle!$T$2:$T$326,$B81,Detalle!$H$2:$H$326,$B111)</f>
        <v/>
      </c>
      <c r="F111" s="28">
        <f>D111+E111</f>
        <v/>
      </c>
    </row>
    <row r="112">
      <c r="B112" s="39" t="inlineStr">
        <is>
          <t>BORNA 2 AWG TERMINAL BIMETALICA - CILES - UND</t>
        </is>
      </c>
      <c r="C112" s="40">
        <f>SUMIFS(Detalle!$I$2:$I$326,Detalle!$T$2:$T$326,$B81,Detalle!$H$2:$H$326,$B112)</f>
        <v/>
      </c>
      <c r="D112" s="28">
        <f>SUMIFS(Detalle!$K$2:$K$326,Detalle!$T$2:$T$326,$B81,Detalle!$H$2:$H$326,$B112)</f>
        <v/>
      </c>
      <c r="E112" s="28">
        <f>SUMIFS(Detalle!$M$2:$M$326,Detalle!$T$2:$T$326,$B81,Detalle!$H$2:$H$326,$B112)</f>
        <v/>
      </c>
      <c r="F112" s="28">
        <f>D112+E112</f>
        <v/>
      </c>
    </row>
    <row r="113">
      <c r="B113" s="39" t="inlineStr">
        <is>
          <t>CORAZA AMERICANA 3/4" METRO - METRO</t>
        </is>
      </c>
      <c r="C113" s="40">
        <f>SUMIFS(Detalle!$I$2:$I$326,Detalle!$T$2:$T$326,$B81,Detalle!$H$2:$H$326,$B113)</f>
        <v/>
      </c>
      <c r="D113" s="28">
        <f>SUMIFS(Detalle!$K$2:$K$326,Detalle!$T$2:$T$326,$B81,Detalle!$H$2:$H$326,$B113)</f>
        <v/>
      </c>
      <c r="E113" s="28">
        <f>SUMIFS(Detalle!$M$2:$M$326,Detalle!$T$2:$T$326,$B81,Detalle!$H$2:$H$326,$B113)</f>
        <v/>
      </c>
      <c r="F113" s="28">
        <f>D113+E113</f>
        <v/>
      </c>
    </row>
    <row r="114">
      <c r="B114" s="39" t="inlineStr">
        <is>
          <t>TERMINAL TIPO FERRUL 10 AWG - UND</t>
        </is>
      </c>
      <c r="C114" s="40">
        <f>SUMIFS(Detalle!$I$2:$I$326,Detalle!$T$2:$T$326,$B81,Detalle!$H$2:$H$326,$B114)</f>
        <v/>
      </c>
      <c r="D114" s="28">
        <f>SUMIFS(Detalle!$K$2:$K$326,Detalle!$T$2:$T$326,$B81,Detalle!$H$2:$H$326,$B114)</f>
        <v/>
      </c>
      <c r="E114" s="28">
        <f>SUMIFS(Detalle!$M$2:$M$326,Detalle!$T$2:$T$326,$B81,Detalle!$H$2:$H$326,$B114)</f>
        <v/>
      </c>
      <c r="F114" s="28">
        <f>D114+E114</f>
        <v/>
      </c>
    </row>
    <row r="115">
      <c r="B115" s="39" t="inlineStr">
        <is>
          <t>CONECTOR RECTO DE CORAZA  3/4" - UND</t>
        </is>
      </c>
      <c r="C115" s="40">
        <f>SUMIFS(Detalle!$I$2:$I$326,Detalle!$T$2:$T$326,$B81,Detalle!$H$2:$H$326,$B115)</f>
        <v/>
      </c>
      <c r="D115" s="28">
        <f>SUMIFS(Detalle!$K$2:$K$326,Detalle!$T$2:$T$326,$B81,Detalle!$H$2:$H$326,$B115)</f>
        <v/>
      </c>
      <c r="E115" s="28">
        <f>SUMIFS(Detalle!$M$2:$M$326,Detalle!$T$2:$T$326,$B81,Detalle!$H$2:$H$326,$B115)</f>
        <v/>
      </c>
      <c r="F115" s="28">
        <f>D115+E115</f>
        <v/>
      </c>
    </row>
    <row r="116">
      <c r="B116" s="39" t="inlineStr">
        <is>
          <t>TERMINAL ANILLO AMARILLO 12-10 AWG 1/4 - UND</t>
        </is>
      </c>
      <c r="C116" s="40">
        <f>SUMIFS(Detalle!$I$2:$I$326,Detalle!$T$2:$T$326,$B81,Detalle!$H$2:$H$326,$B116)</f>
        <v/>
      </c>
      <c r="D116" s="28">
        <f>SUMIFS(Detalle!$K$2:$K$326,Detalle!$T$2:$T$326,$B81,Detalle!$H$2:$H$326,$B116)</f>
        <v/>
      </c>
      <c r="E116" s="28">
        <f>SUMIFS(Detalle!$M$2:$M$326,Detalle!$T$2:$T$326,$B81,Detalle!$H$2:$H$326,$B116)</f>
        <v/>
      </c>
      <c r="F116" s="28">
        <f>D116+E116</f>
        <v/>
      </c>
    </row>
    <row r="117">
      <c r="B117" s="20" t="inlineStr">
        <is>
          <t>Servicios de obra e ingeniería</t>
        </is>
      </c>
      <c r="C117" s="38">
        <f>SUMIFS(Detalle!$I$2:$I$326,Detalle!$T$2:$T$326,$B117)</f>
        <v/>
      </c>
      <c r="D117" s="21">
        <f>SUMIFS(Detalle!$K$2:$K$326,Detalle!$T$2:$T$326,$B117)</f>
        <v/>
      </c>
      <c r="E117" s="21">
        <f>SUMIFS(Detalle!$M$2:$M$326,Detalle!$T$2:$T$326,$B117)</f>
        <v/>
      </c>
      <c r="F117" s="21">
        <f>D117+E117</f>
        <v/>
      </c>
    </row>
    <row r="118">
      <c r="B118" s="39" t="inlineStr">
        <is>
          <t>CONSTRUCCIÓN SET CIVIL - UND</t>
        </is>
      </c>
      <c r="C118" s="40">
        <f>SUMIFS(Detalle!$I$2:$I$326,Detalle!$T$2:$T$326,$B117,Detalle!$H$2:$H$326,$B118)</f>
        <v/>
      </c>
      <c r="D118" s="28">
        <f>SUMIFS(Detalle!$K$2:$K$326,Detalle!$T$2:$T$326,$B117,Detalle!$H$2:$H$326,$B118)</f>
        <v/>
      </c>
      <c r="E118" s="28">
        <f>SUMIFS(Detalle!$M$2:$M$326,Detalle!$T$2:$T$326,$B117,Detalle!$H$2:$H$326,$B118)</f>
        <v/>
      </c>
      <c r="F118" s="28">
        <f>D118+E118</f>
        <v/>
      </c>
    </row>
    <row r="119">
      <c r="B119" s="39" t="inlineStr">
        <is>
          <t>SERVICIO DE COMISIONAMIENTO Y ACOMPAÑAMIENTO EN LA ENERGIZACIÓN - UND</t>
        </is>
      </c>
      <c r="C119" s="40">
        <f>SUMIFS(Detalle!$I$2:$I$326,Detalle!$T$2:$T$326,$B117,Detalle!$H$2:$H$326,$B119)</f>
        <v/>
      </c>
      <c r="D119" s="28">
        <f>SUMIFS(Detalle!$K$2:$K$326,Detalle!$T$2:$T$326,$B117,Detalle!$H$2:$H$326,$B119)</f>
        <v/>
      </c>
      <c r="E119" s="28">
        <f>SUMIFS(Detalle!$M$2:$M$326,Detalle!$T$2:$T$326,$B117,Detalle!$H$2:$H$326,$B119)</f>
        <v/>
      </c>
      <c r="F119" s="28">
        <f>D119+E119</f>
        <v/>
      </c>
    </row>
    <row r="120">
      <c r="B120" s="39" t="inlineStr">
        <is>
          <t>TRANSPORTE Y REMOCIÓN DE MATERIAL  - UND</t>
        </is>
      </c>
      <c r="C120" s="40">
        <f>SUMIFS(Detalle!$I$2:$I$326,Detalle!$T$2:$T$326,$B117,Detalle!$H$2:$H$326,$B120)</f>
        <v/>
      </c>
      <c r="D120" s="28">
        <f>SUMIFS(Detalle!$K$2:$K$326,Detalle!$T$2:$T$326,$B117,Detalle!$H$2:$H$326,$B120)</f>
        <v/>
      </c>
      <c r="E120" s="28">
        <f>SUMIFS(Detalle!$M$2:$M$326,Detalle!$T$2:$T$326,$B117,Detalle!$H$2:$H$326,$B120)</f>
        <v/>
      </c>
      <c r="F120" s="28">
        <f>D120+E120</f>
        <v/>
      </c>
    </row>
    <row r="121">
      <c r="B121" s="39" t="inlineStr">
        <is>
          <t>CORTE EN ACRILICO - UND</t>
        </is>
      </c>
      <c r="C121" s="40">
        <f>SUMIFS(Detalle!$I$2:$I$326,Detalle!$T$2:$T$326,$B117,Detalle!$H$2:$H$326,$B121)</f>
        <v/>
      </c>
      <c r="D121" s="28">
        <f>SUMIFS(Detalle!$K$2:$K$326,Detalle!$T$2:$T$326,$B117,Detalle!$H$2:$H$326,$B121)</f>
        <v/>
      </c>
      <c r="E121" s="28">
        <f>SUMIFS(Detalle!$M$2:$M$326,Detalle!$T$2:$T$326,$B117,Detalle!$H$2:$H$326,$B121)</f>
        <v/>
      </c>
      <c r="F121" s="28">
        <f>D121+E121</f>
        <v/>
      </c>
    </row>
    <row r="122">
      <c r="B122" s="20" t="inlineStr">
        <is>
          <t>Alquiler de maquinaria y equipos</t>
        </is>
      </c>
      <c r="C122" s="38">
        <f>SUMIFS(Detalle!$I$2:$I$326,Detalle!$T$2:$T$326,$B122)</f>
        <v/>
      </c>
      <c r="D122" s="21">
        <f>SUMIFS(Detalle!$K$2:$K$326,Detalle!$T$2:$T$326,$B122)</f>
        <v/>
      </c>
      <c r="E122" s="21">
        <f>SUMIFS(Detalle!$M$2:$M$326,Detalle!$T$2:$T$326,$B122)</f>
        <v/>
      </c>
      <c r="F122" s="21">
        <f>D122+E122</f>
        <v/>
      </c>
    </row>
    <row r="123">
      <c r="B123" s="39" t="inlineStr">
        <is>
          <t>ALQUILER RETROEXCAVADORA - UND</t>
        </is>
      </c>
      <c r="C123" s="40">
        <f>SUMIFS(Detalle!$I$2:$I$326,Detalle!$T$2:$T$326,$B122,Detalle!$H$2:$H$326,$B123)</f>
        <v/>
      </c>
      <c r="D123" s="28">
        <f>SUMIFS(Detalle!$K$2:$K$326,Detalle!$T$2:$T$326,$B122,Detalle!$H$2:$H$326,$B123)</f>
        <v/>
      </c>
      <c r="E123" s="28">
        <f>SUMIFS(Detalle!$M$2:$M$326,Detalle!$T$2:$T$326,$B122,Detalle!$H$2:$H$326,$B123)</f>
        <v/>
      </c>
      <c r="F123" s="28">
        <f>D123+E123</f>
        <v/>
      </c>
    </row>
    <row r="124">
      <c r="B124" s="39" t="inlineStr">
        <is>
          <t>ALQUILER MEZCLADORA X DÍA - UND</t>
        </is>
      </c>
      <c r="C124" s="40">
        <f>SUMIFS(Detalle!$I$2:$I$326,Detalle!$T$2:$T$326,$B122,Detalle!$H$2:$H$326,$B124)</f>
        <v/>
      </c>
      <c r="D124" s="28">
        <f>SUMIFS(Detalle!$K$2:$K$326,Detalle!$T$2:$T$326,$B122,Detalle!$H$2:$H$326,$B124)</f>
        <v/>
      </c>
      <c r="E124" s="28">
        <f>SUMIFS(Detalle!$M$2:$M$326,Detalle!$T$2:$T$326,$B122,Detalle!$H$2:$H$326,$B124)</f>
        <v/>
      </c>
      <c r="F124" s="28">
        <f>D124+E124</f>
        <v/>
      </c>
    </row>
    <row r="125">
      <c r="B125" s="20" t="inlineStr">
        <is>
          <t>RETIE / Legalización / Medición</t>
        </is>
      </c>
      <c r="C125" s="38">
        <f>SUMIFS(Detalle!$I$2:$I$326,Detalle!$T$2:$T$326,$B125)</f>
        <v/>
      </c>
      <c r="D125" s="21">
        <f>SUMIFS(Detalle!$K$2:$K$326,Detalle!$T$2:$T$326,$B125)</f>
        <v/>
      </c>
      <c r="E125" s="21">
        <f>SUMIFS(Detalle!$M$2:$M$326,Detalle!$T$2:$T$326,$B125)</f>
        <v/>
      </c>
      <c r="F125" s="21">
        <f>D125+E125</f>
        <v/>
      </c>
    </row>
    <row r="126">
      <c r="B126" s="39" t="inlineStr">
        <is>
          <t>CERTIFICADO RETIE - UND</t>
        </is>
      </c>
      <c r="C126" s="40">
        <f>SUMIFS(Detalle!$I$2:$I$326,Detalle!$T$2:$T$326,$B125,Detalle!$H$2:$H$326,$B126)</f>
        <v/>
      </c>
      <c r="D126" s="28">
        <f>SUMIFS(Detalle!$K$2:$K$326,Detalle!$T$2:$T$326,$B125,Detalle!$H$2:$H$326,$B126)</f>
        <v/>
      </c>
      <c r="E126" s="28">
        <f>SUMIFS(Detalle!$M$2:$M$326,Detalle!$T$2:$T$326,$B125,Detalle!$H$2:$H$326,$B126)</f>
        <v/>
      </c>
      <c r="F126" s="28">
        <f>D126+E126</f>
        <v/>
      </c>
    </row>
    <row r="127">
      <c r="B127" s="39" t="inlineStr">
        <is>
          <t>CERTIFICADO UPME - UND</t>
        </is>
      </c>
      <c r="C127" s="40">
        <f>SUMIFS(Detalle!$I$2:$I$326,Detalle!$T$2:$T$326,$B125,Detalle!$H$2:$H$326,$B127)</f>
        <v/>
      </c>
      <c r="D127" s="28">
        <f>SUMIFS(Detalle!$K$2:$K$326,Detalle!$T$2:$T$326,$B125,Detalle!$H$2:$H$326,$B127)</f>
        <v/>
      </c>
      <c r="E127" s="28">
        <f>SUMIFS(Detalle!$M$2:$M$326,Detalle!$T$2:$T$326,$B125,Detalle!$H$2:$H$326,$B127)</f>
        <v/>
      </c>
      <c r="F127" s="28">
        <f>D127+E127</f>
        <v/>
      </c>
    </row>
    <row r="128">
      <c r="B128" s="39" t="inlineStr">
        <is>
          <t>PRUEBAS DE RUTINA EN SITIO A SISTEMAS DE  MEDICION NIVEL 2 PARA TC´s Y TP´s - UND</t>
        </is>
      </c>
      <c r="C128" s="40">
        <f>SUMIFS(Detalle!$I$2:$I$326,Detalle!$T$2:$T$326,$B125,Detalle!$H$2:$H$326,$B128)</f>
        <v/>
      </c>
      <c r="D128" s="28">
        <f>SUMIFS(Detalle!$K$2:$K$326,Detalle!$T$2:$T$326,$B125,Detalle!$H$2:$H$326,$B128)</f>
        <v/>
      </c>
      <c r="E128" s="28">
        <f>SUMIFS(Detalle!$M$2:$M$326,Detalle!$T$2:$T$326,$B125,Detalle!$H$2:$H$326,$B128)</f>
        <v/>
      </c>
      <c r="F128" s="28">
        <f>D128+E128</f>
        <v/>
      </c>
    </row>
    <row r="129">
      <c r="B129" s="39" t="inlineStr">
        <is>
          <t>CERTIFICACION DE FRONTERA COMERCIAL - UND</t>
        </is>
      </c>
      <c r="C129" s="40">
        <f>SUMIFS(Detalle!$I$2:$I$326,Detalle!$T$2:$T$326,$B125,Detalle!$H$2:$H$326,$B129)</f>
        <v/>
      </c>
      <c r="D129" s="28">
        <f>SUMIFS(Detalle!$K$2:$K$326,Detalle!$T$2:$T$326,$B125,Detalle!$H$2:$H$326,$B129)</f>
        <v/>
      </c>
      <c r="E129" s="28">
        <f>SUMIFS(Detalle!$M$2:$M$326,Detalle!$T$2:$T$326,$B125,Detalle!$H$2:$H$326,$B129)</f>
        <v/>
      </c>
      <c r="F129" s="28">
        <f>D129+E129</f>
        <v/>
      </c>
    </row>
    <row r="130">
      <c r="B130" s="39" t="inlineStr">
        <is>
          <t>SUMINISTRO DE MARCOS METALICOS DE  1.10mX 1.10 m PARA CAJA DE INSPECCION EN  ANGULO DE ½ X 3/16, PINTURA  ANTICORROSIVA Y ESMALTE - UND</t>
        </is>
      </c>
      <c r="C130" s="40">
        <f>SUMIFS(Detalle!$I$2:$I$326,Detalle!$T$2:$T$326,$B125,Detalle!$H$2:$H$326,$B130)</f>
        <v/>
      </c>
      <c r="D130" s="28">
        <f>SUMIFS(Detalle!$K$2:$K$326,Detalle!$T$2:$T$326,$B125,Detalle!$H$2:$H$326,$B130)</f>
        <v/>
      </c>
      <c r="E130" s="28">
        <f>SUMIFS(Detalle!$M$2:$M$326,Detalle!$T$2:$T$326,$B125,Detalle!$H$2:$H$326,$B130)</f>
        <v/>
      </c>
      <c r="F130" s="28">
        <f>D130+E130</f>
        <v/>
      </c>
    </row>
    <row r="131">
      <c r="B131" s="39" t="inlineStr">
        <is>
          <t>SUMINISTRO DE MARCOS METÁLICOS PARA CAJA DE INSPECCIÓN , PINTURA ANTICORROSIVA Y ESMALTE COLOR NEGRO, GROSOR: ÁNGULO 1 1/2X3/16" CON DIMENSIONES: ANCHO: 1.5 M Y LARGO: 1.7 M - UND</t>
        </is>
      </c>
      <c r="C131" s="40">
        <f>SUMIFS(Detalle!$I$2:$I$326,Detalle!$T$2:$T$326,$B125,Detalle!$H$2:$H$326,$B131)</f>
        <v/>
      </c>
      <c r="D131" s="28">
        <f>SUMIFS(Detalle!$K$2:$K$326,Detalle!$T$2:$T$326,$B125,Detalle!$H$2:$H$326,$B131)</f>
        <v/>
      </c>
      <c r="E131" s="28">
        <f>SUMIFS(Detalle!$M$2:$M$326,Detalle!$T$2:$T$326,$B125,Detalle!$H$2:$H$326,$B131)</f>
        <v/>
      </c>
      <c r="F131" s="28">
        <f>D131+E131</f>
        <v/>
      </c>
    </row>
    <row r="132">
      <c r="B132" s="39" t="inlineStr">
        <is>
          <t>SUMINISTRO DE TAPAS METÁLICAS PARA CAJA DE INSPECCIÓN EN LÁMINA ALFAJOR DE 2.5 MM, ÁNGULO DE 1 ½ X 3/16", PINTURA ANTICORROSIVA Y ESMALTE. DIMENSIONES: ANCHO: 1.5M Y LARGO: 1.5M - UND</t>
        </is>
      </c>
      <c r="C132" s="40">
        <f>SUMIFS(Detalle!$I$2:$I$326,Detalle!$T$2:$T$326,$B125,Detalle!$H$2:$H$326,$B132)</f>
        <v/>
      </c>
      <c r="D132" s="28">
        <f>SUMIFS(Detalle!$K$2:$K$326,Detalle!$T$2:$T$326,$B125,Detalle!$H$2:$H$326,$B132)</f>
        <v/>
      </c>
      <c r="E132" s="28">
        <f>SUMIFS(Detalle!$M$2:$M$326,Detalle!$T$2:$T$326,$B125,Detalle!$H$2:$H$326,$B132)</f>
        <v/>
      </c>
      <c r="F132" s="28">
        <f>D132+E132</f>
        <v/>
      </c>
    </row>
    <row r="133">
      <c r="B133" s="39" t="inlineStr">
        <is>
          <t>CAJA REGISTRO DE INSPECCION PLASTICA CON TAPA - 30X30 CM 2002-30X30CM - UND</t>
        </is>
      </c>
      <c r="C133" s="40">
        <f>SUMIFS(Detalle!$I$2:$I$326,Detalle!$T$2:$T$326,$B125,Detalle!$H$2:$H$326,$B133)</f>
        <v/>
      </c>
      <c r="D133" s="28">
        <f>SUMIFS(Detalle!$K$2:$K$326,Detalle!$T$2:$T$326,$B125,Detalle!$H$2:$H$326,$B133)</f>
        <v/>
      </c>
      <c r="E133" s="28">
        <f>SUMIFS(Detalle!$M$2:$M$326,Detalle!$T$2:$T$326,$B125,Detalle!$H$2:$H$326,$B133)</f>
        <v/>
      </c>
      <c r="F133" s="28">
        <f>D133+E133</f>
        <v/>
      </c>
    </row>
    <row r="134">
      <c r="B134" s="39" t="inlineStr">
        <is>
          <t>SUMINISTRO DE TAPAS METALICAS DE 1.10m X1.10m PARA CAJA DE INSPECCION EN LAMINA ALFAJOR 2.5mm Y ANGULO DE ½ - UND</t>
        </is>
      </c>
      <c r="C134" s="40">
        <f>SUMIFS(Detalle!$I$2:$I$326,Detalle!$T$2:$T$326,$B125,Detalle!$H$2:$H$326,$B134)</f>
        <v/>
      </c>
      <c r="D134" s="28">
        <f>SUMIFS(Detalle!$K$2:$K$326,Detalle!$T$2:$T$326,$B125,Detalle!$H$2:$H$326,$B134)</f>
        <v/>
      </c>
      <c r="E134" s="28">
        <f>SUMIFS(Detalle!$M$2:$M$326,Detalle!$T$2:$T$326,$B125,Detalle!$H$2:$H$326,$B134)</f>
        <v/>
      </c>
      <c r="F134" s="28">
        <f>D134+E134</f>
        <v/>
      </c>
    </row>
    <row r="135">
      <c r="B135" s="39" t="inlineStr">
        <is>
          <t>SUMINISTRO DE TAPAS METÁLICAS DE PARA CAJA DE INSPECCIÓN EN LÁMINA ALFAJOR DE 2.5 MM, ÁNGULO DE 1 ½ X 3/16", PINTURA ANTICORROSIVA Y ESMALTE. DIMENSIONES: ANCHO: 1.5M Y LARGO: 1.7M - UND</t>
        </is>
      </c>
      <c r="C135" s="40">
        <f>SUMIFS(Detalle!$I$2:$I$326,Detalle!$T$2:$T$326,$B125,Detalle!$H$2:$H$326,$B135)</f>
        <v/>
      </c>
      <c r="D135" s="28">
        <f>SUMIFS(Detalle!$K$2:$K$326,Detalle!$T$2:$T$326,$B125,Detalle!$H$2:$H$326,$B135)</f>
        <v/>
      </c>
      <c r="E135" s="28">
        <f>SUMIFS(Detalle!$M$2:$M$326,Detalle!$T$2:$T$326,$B125,Detalle!$H$2:$H$326,$B135)</f>
        <v/>
      </c>
      <c r="F135" s="28">
        <f>D135+E135</f>
        <v/>
      </c>
    </row>
    <row r="136">
      <c r="B136" s="39" t="inlineStr">
        <is>
          <t>SUMINISTRO DE TAPA METÁLICA DE 0.25 X 0.28 MTS PARA CAJA DE INSPECCIÓN EN LÁMINA ALFAJOR DE 2.5MM, ANGULO DE 1 1/2X3/16, PINTURA ANTICORROSIVA Y ESMALTE. - UND</t>
        </is>
      </c>
      <c r="C136" s="40">
        <f>SUMIFS(Detalle!$I$2:$I$326,Detalle!$T$2:$T$326,$B125,Detalle!$H$2:$H$326,$B136)</f>
        <v/>
      </c>
      <c r="D136" s="28">
        <f>SUMIFS(Detalle!$K$2:$K$326,Detalle!$T$2:$T$326,$B125,Detalle!$H$2:$H$326,$B136)</f>
        <v/>
      </c>
      <c r="E136" s="28">
        <f>SUMIFS(Detalle!$M$2:$M$326,Detalle!$T$2:$T$326,$B125,Detalle!$H$2:$H$326,$B136)</f>
        <v/>
      </c>
      <c r="F136" s="28">
        <f>D136+E136</f>
        <v/>
      </c>
    </row>
    <row r="137">
      <c r="B137" s="39" t="inlineStr">
        <is>
          <t>SUMINISTRO DE MARCOS METÁLICOS PARA CAJA DE INSPECCIÓN , PINTURA ANTICORROSIVA Y ESMALTE NEGRO EN ÁNGULO 1 1/2X3/16" CON DIMENSIONES: ANCHO: 1.5 M - LARGO: 1.5 M - UND</t>
        </is>
      </c>
      <c r="C137" s="40">
        <f>SUMIFS(Detalle!$I$2:$I$326,Detalle!$T$2:$T$326,$B125,Detalle!$H$2:$H$326,$B137)</f>
        <v/>
      </c>
      <c r="D137" s="28">
        <f>SUMIFS(Detalle!$K$2:$K$326,Detalle!$T$2:$T$326,$B125,Detalle!$H$2:$H$326,$B137)</f>
        <v/>
      </c>
      <c r="E137" s="28">
        <f>SUMIFS(Detalle!$M$2:$M$326,Detalle!$T$2:$T$326,$B125,Detalle!$H$2:$H$326,$B137)</f>
        <v/>
      </c>
      <c r="F137" s="28">
        <f>D137+E137</f>
        <v/>
      </c>
    </row>
    <row r="138">
      <c r="B138" s="20" t="inlineStr">
        <is>
          <t>Viáticos - Alimentación</t>
        </is>
      </c>
      <c r="C138" s="38">
        <f>SUMIFS(Detalle!$I$2:$I$326,Detalle!$T$2:$T$326,$B138)</f>
        <v/>
      </c>
      <c r="D138" s="21">
        <f>SUMIFS(Detalle!$K$2:$K$326,Detalle!$T$2:$T$326,$B138)</f>
        <v/>
      </c>
      <c r="E138" s="21">
        <f>SUMIFS(Detalle!$M$2:$M$326,Detalle!$T$2:$T$326,$B138)</f>
        <v/>
      </c>
      <c r="F138" s="21">
        <f>D138+E138</f>
        <v/>
      </c>
    </row>
    <row r="139">
      <c r="B139" s="39" t="inlineStr">
        <is>
          <t>SERVICIO DE RESTAURANTE - UND</t>
        </is>
      </c>
      <c r="C139" s="40">
        <f>SUMIFS(Detalle!$I$2:$I$326,Detalle!$T$2:$T$326,$B138,Detalle!$H$2:$H$326,$B139)</f>
        <v/>
      </c>
      <c r="D139" s="28">
        <f>SUMIFS(Detalle!$K$2:$K$326,Detalle!$T$2:$T$326,$B138,Detalle!$H$2:$H$326,$B139)</f>
        <v/>
      </c>
      <c r="E139" s="28">
        <f>SUMIFS(Detalle!$M$2:$M$326,Detalle!$T$2:$T$326,$B138,Detalle!$H$2:$H$326,$B139)</f>
        <v/>
      </c>
      <c r="F139" s="28">
        <f>D139+E139</f>
        <v/>
      </c>
    </row>
    <row r="140">
      <c r="B140" s="39" t="inlineStr">
        <is>
          <t>SERVICIO DE COMEDOR / RESTAURANTE - UND</t>
        </is>
      </c>
      <c r="C140" s="40">
        <f>SUMIFS(Detalle!$I$2:$I$326,Detalle!$T$2:$T$326,$B138,Detalle!$H$2:$H$326,$B140)</f>
        <v/>
      </c>
      <c r="D140" s="28">
        <f>SUMIFS(Detalle!$K$2:$K$326,Detalle!$T$2:$T$326,$B138,Detalle!$H$2:$H$326,$B140)</f>
        <v/>
      </c>
      <c r="E140" s="28">
        <f>SUMIFS(Detalle!$M$2:$M$326,Detalle!$T$2:$T$326,$B138,Detalle!$H$2:$H$326,$B140)</f>
        <v/>
      </c>
      <c r="F140" s="28">
        <f>D140+E140</f>
        <v/>
      </c>
    </row>
    <row r="141">
      <c r="B141" s="20" t="inlineStr">
        <is>
          <t>Fletes y transporte de carga</t>
        </is>
      </c>
      <c r="C141" s="38">
        <f>SUMIFS(Detalle!$I$2:$I$326,Detalle!$T$2:$T$326,$B141)</f>
        <v/>
      </c>
      <c r="D141" s="21">
        <f>SUMIFS(Detalle!$K$2:$K$326,Detalle!$T$2:$T$326,$B141)</f>
        <v/>
      </c>
      <c r="E141" s="21">
        <f>SUMIFS(Detalle!$M$2:$M$326,Detalle!$T$2:$T$326,$B141)</f>
        <v/>
      </c>
      <c r="F141" s="21">
        <f>D141+E141</f>
        <v/>
      </c>
    </row>
    <row r="142">
      <c r="B142" s="39" t="inlineStr">
        <is>
          <t>MONTACARGAS - UND</t>
        </is>
      </c>
      <c r="C142" s="40">
        <f>SUMIFS(Detalle!$I$2:$I$326,Detalle!$T$2:$T$326,$B141,Detalle!$H$2:$H$326,$B142)</f>
        <v/>
      </c>
      <c r="D142" s="28">
        <f>SUMIFS(Detalle!$K$2:$K$326,Detalle!$T$2:$T$326,$B141,Detalle!$H$2:$H$326,$B142)</f>
        <v/>
      </c>
      <c r="E142" s="28">
        <f>SUMIFS(Detalle!$M$2:$M$326,Detalle!$T$2:$T$326,$B141,Detalle!$H$2:$H$326,$B142)</f>
        <v/>
      </c>
      <c r="F142" s="28">
        <f>D142+E142</f>
        <v/>
      </c>
    </row>
    <row r="143">
      <c r="B143" s="39" t="inlineStr">
        <is>
          <t>DESCARGUE E INSTALACION DE CELDAS PARA TRANSFORMADORES MAS SERVICIO DE GRUA - UND</t>
        </is>
      </c>
      <c r="C143" s="40">
        <f>SUMIFS(Detalle!$I$2:$I$326,Detalle!$T$2:$T$326,$B141,Detalle!$H$2:$H$326,$B143)</f>
        <v/>
      </c>
      <c r="D143" s="28">
        <f>SUMIFS(Detalle!$K$2:$K$326,Detalle!$T$2:$T$326,$B141,Detalle!$H$2:$H$326,$B143)</f>
        <v/>
      </c>
      <c r="E143" s="28">
        <f>SUMIFS(Detalle!$M$2:$M$326,Detalle!$T$2:$T$326,$B141,Detalle!$H$2:$H$326,$B143)</f>
        <v/>
      </c>
      <c r="F143" s="28">
        <f>D143+E143</f>
        <v/>
      </c>
    </row>
    <row r="144">
      <c r="B144" s="39" t="inlineStr">
        <is>
          <t>FLETE - UND</t>
        </is>
      </c>
      <c r="C144" s="40">
        <f>SUMIFS(Detalle!$I$2:$I$326,Detalle!$T$2:$T$326,$B141,Detalle!$H$2:$H$326,$B144)</f>
        <v/>
      </c>
      <c r="D144" s="28">
        <f>SUMIFS(Detalle!$K$2:$K$326,Detalle!$T$2:$T$326,$B141,Detalle!$H$2:$H$326,$B144)</f>
        <v/>
      </c>
      <c r="E144" s="28">
        <f>SUMIFS(Detalle!$M$2:$M$326,Detalle!$T$2:$T$326,$B141,Detalle!$H$2:$H$326,$B144)</f>
        <v/>
      </c>
      <c r="F144" s="28">
        <f>D144+E144</f>
        <v/>
      </c>
    </row>
    <row r="145">
      <c r="B145" s="20" t="inlineStr">
        <is>
          <t>Viáticos - Hospedaje</t>
        </is>
      </c>
      <c r="C145" s="38">
        <f>SUMIFS(Detalle!$I$2:$I$326,Detalle!$T$2:$T$326,$B145)</f>
        <v/>
      </c>
      <c r="D145" s="21">
        <f>SUMIFS(Detalle!$K$2:$K$326,Detalle!$T$2:$T$326,$B145)</f>
        <v/>
      </c>
      <c r="E145" s="21">
        <f>SUMIFS(Detalle!$M$2:$M$326,Detalle!$T$2:$T$326,$B145)</f>
        <v/>
      </c>
      <c r="F145" s="21">
        <f>D145+E145</f>
        <v/>
      </c>
    </row>
    <row r="146">
      <c r="B146" s="39" t="inlineStr">
        <is>
          <t>SERVICIO DE HOTEL - UND</t>
        </is>
      </c>
      <c r="C146" s="40">
        <f>SUMIFS(Detalle!$I$2:$I$326,Detalle!$T$2:$T$326,$B145,Detalle!$H$2:$H$326,$B146)</f>
        <v/>
      </c>
      <c r="D146" s="28">
        <f>SUMIFS(Detalle!$K$2:$K$326,Detalle!$T$2:$T$326,$B145,Detalle!$H$2:$H$326,$B146)</f>
        <v/>
      </c>
      <c r="E146" s="28">
        <f>SUMIFS(Detalle!$M$2:$M$326,Detalle!$T$2:$T$326,$B145,Detalle!$H$2:$H$326,$B146)</f>
        <v/>
      </c>
      <c r="F146" s="28">
        <f>D146+E146</f>
        <v/>
      </c>
    </row>
    <row r="147">
      <c r="B147" s="20" t="inlineStr">
        <is>
          <t>Canalización y tubería</t>
        </is>
      </c>
      <c r="C147" s="38">
        <f>SUMIFS(Detalle!$I$2:$I$326,Detalle!$T$2:$T$326,$B147)</f>
        <v/>
      </c>
      <c r="D147" s="21">
        <f>SUMIFS(Detalle!$K$2:$K$326,Detalle!$T$2:$T$326,$B147)</f>
        <v/>
      </c>
      <c r="E147" s="21">
        <f>SUMIFS(Detalle!$M$2:$M$326,Detalle!$T$2:$T$326,$B147)</f>
        <v/>
      </c>
      <c r="F147" s="21">
        <f>D147+E147</f>
        <v/>
      </c>
    </row>
    <row r="148">
      <c r="B148" s="39" t="inlineStr">
        <is>
          <t>DUCTO 4" TDP 6MT CORRUGADO - TUBOSA - UND</t>
        </is>
      </c>
      <c r="C148" s="40">
        <f>SUMIFS(Detalle!$I$2:$I$326,Detalle!$T$2:$T$326,$B147,Detalle!$H$2:$H$326,$B148)</f>
        <v/>
      </c>
      <c r="D148" s="28">
        <f>SUMIFS(Detalle!$K$2:$K$326,Detalle!$T$2:$T$326,$B147,Detalle!$H$2:$H$326,$B148)</f>
        <v/>
      </c>
      <c r="E148" s="28">
        <f>SUMIFS(Detalle!$M$2:$M$326,Detalle!$T$2:$T$326,$B147,Detalle!$H$2:$H$326,$B148)</f>
        <v/>
      </c>
      <c r="F148" s="28">
        <f>D148+E148</f>
        <v/>
      </c>
    </row>
    <row r="149">
      <c r="B149" s="39" t="inlineStr">
        <is>
          <t>TUBO 36” CONCRETO X 1M - UND</t>
        </is>
      </c>
      <c r="C149" s="40">
        <f>SUMIFS(Detalle!$I$2:$I$326,Detalle!$T$2:$T$326,$B147,Detalle!$H$2:$H$326,$B149)</f>
        <v/>
      </c>
      <c r="D149" s="28">
        <f>SUMIFS(Detalle!$K$2:$K$326,Detalle!$T$2:$T$326,$B147,Detalle!$H$2:$H$326,$B149)</f>
        <v/>
      </c>
      <c r="E149" s="28">
        <f>SUMIFS(Detalle!$M$2:$M$326,Detalle!$T$2:$T$326,$B147,Detalle!$H$2:$H$326,$B149)</f>
        <v/>
      </c>
      <c r="F149" s="28">
        <f>D149+E149</f>
        <v/>
      </c>
    </row>
    <row r="150">
      <c r="B150" s="39" t="inlineStr">
        <is>
          <t>DUCTO 3" TDP 6MT CORRUGADO TUBOSA - UND</t>
        </is>
      </c>
      <c r="C150" s="40">
        <f>SUMIFS(Detalle!$I$2:$I$326,Detalle!$T$2:$T$326,$B147,Detalle!$H$2:$H$326,$B150)</f>
        <v/>
      </c>
      <c r="D150" s="28">
        <f>SUMIFS(Detalle!$K$2:$K$326,Detalle!$T$2:$T$326,$B147,Detalle!$H$2:$H$326,$B150)</f>
        <v/>
      </c>
      <c r="E150" s="28">
        <f>SUMIFS(Detalle!$M$2:$M$326,Detalle!$T$2:$T$326,$B147,Detalle!$H$2:$H$326,$B150)</f>
        <v/>
      </c>
      <c r="F150" s="28">
        <f>D150+E150</f>
        <v/>
      </c>
    </row>
    <row r="151">
      <c r="B151" s="39" t="inlineStr">
        <is>
          <t>CANALETA METALICA  30X10 CM X 240 M TORNILLO S/D PREGALVANIZADA Y PINTADA - GALCO - UND</t>
        </is>
      </c>
      <c r="C151" s="40">
        <f>SUMIFS(Detalle!$I$2:$I$326,Detalle!$T$2:$T$326,$B147,Detalle!$H$2:$H$326,$B151)</f>
        <v/>
      </c>
      <c r="D151" s="28">
        <f>SUMIFS(Detalle!$K$2:$K$326,Detalle!$T$2:$T$326,$B147,Detalle!$H$2:$H$326,$B151)</f>
        <v/>
      </c>
      <c r="E151" s="28">
        <f>SUMIFS(Detalle!$M$2:$M$326,Detalle!$T$2:$T$326,$B147,Detalle!$H$2:$H$326,$B151)</f>
        <v/>
      </c>
      <c r="F151" s="28">
        <f>D151+E151</f>
        <v/>
      </c>
    </row>
    <row r="152">
      <c r="B152" s="39" t="inlineStr">
        <is>
          <t>TUBO 1" PVC COUNDUIT 3 MTS 1302-160905 - UND</t>
        </is>
      </c>
      <c r="C152" s="40">
        <f>SUMIFS(Detalle!$I$2:$I$326,Detalle!$T$2:$T$326,$B147,Detalle!$H$2:$H$326,$B152)</f>
        <v/>
      </c>
      <c r="D152" s="28">
        <f>SUMIFS(Detalle!$K$2:$K$326,Detalle!$T$2:$T$326,$B147,Detalle!$H$2:$H$326,$B152)</f>
        <v/>
      </c>
      <c r="E152" s="28">
        <f>SUMIFS(Detalle!$M$2:$M$326,Detalle!$T$2:$T$326,$B147,Detalle!$H$2:$H$326,$B152)</f>
        <v/>
      </c>
      <c r="F152" s="28">
        <f>D152+E152</f>
        <v/>
      </c>
    </row>
    <row r="153">
      <c r="B153" s="39" t="inlineStr">
        <is>
          <t>CANALETA METALICA  20X10 CM X 240 M TORNILLO S/D PREGALVANIZADA Y PINTADA - GALCO 27-CMTTGP2010 - UND</t>
        </is>
      </c>
      <c r="C153" s="40">
        <f>SUMIFS(Detalle!$I$2:$I$326,Detalle!$T$2:$T$326,$B147,Detalle!$H$2:$H$326,$B153)</f>
        <v/>
      </c>
      <c r="D153" s="28">
        <f>SUMIFS(Detalle!$K$2:$K$326,Detalle!$T$2:$T$326,$B147,Detalle!$H$2:$H$326,$B153)</f>
        <v/>
      </c>
      <c r="E153" s="28">
        <f>SUMIFS(Detalle!$M$2:$M$326,Detalle!$T$2:$T$326,$B147,Detalle!$H$2:$H$326,$B153)</f>
        <v/>
      </c>
      <c r="F153" s="28">
        <f>D153+E153</f>
        <v/>
      </c>
    </row>
    <row r="154">
      <c r="B154" s="39" t="inlineStr">
        <is>
          <t>CANAL ESTRUCTURADO 4X2 (7/8"x 1 5/8") RANURADO 300M CALIBRE 14 G/C - GALCO - UND</t>
        </is>
      </c>
      <c r="C154" s="40">
        <f>SUMIFS(Detalle!$I$2:$I$326,Detalle!$T$2:$T$326,$B147,Detalle!$H$2:$H$326,$B154)</f>
        <v/>
      </c>
      <c r="D154" s="28">
        <f>SUMIFS(Detalle!$K$2:$K$326,Detalle!$T$2:$T$326,$B147,Detalle!$H$2:$H$326,$B154)</f>
        <v/>
      </c>
      <c r="E154" s="28">
        <f>SUMIFS(Detalle!$M$2:$M$326,Detalle!$T$2:$T$326,$B147,Detalle!$H$2:$H$326,$B154)</f>
        <v/>
      </c>
      <c r="F154" s="28">
        <f>D154+E154</f>
        <v/>
      </c>
    </row>
    <row r="155">
      <c r="B155" s="39" t="inlineStr">
        <is>
          <t>TUBO IMC 4" X 3M - UND</t>
        </is>
      </c>
      <c r="C155" s="40">
        <f>SUMIFS(Detalle!$I$2:$I$326,Detalle!$T$2:$T$326,$B147,Detalle!$H$2:$H$326,$B155)</f>
        <v/>
      </c>
      <c r="D155" s="28">
        <f>SUMIFS(Detalle!$K$2:$K$326,Detalle!$T$2:$T$326,$B147,Detalle!$H$2:$H$326,$B155)</f>
        <v/>
      </c>
      <c r="E155" s="28">
        <f>SUMIFS(Detalle!$M$2:$M$326,Detalle!$T$2:$T$326,$B147,Detalle!$H$2:$H$326,$B155)</f>
        <v/>
      </c>
      <c r="F155" s="28">
        <f>D155+E155</f>
        <v/>
      </c>
    </row>
    <row r="156">
      <c r="B156" s="39" t="inlineStr">
        <is>
          <t>CURVA 3" PVC NACIONAL CONDUIT (90° / 1 CAMPANA) - TUBOSA/IMEC 1301-160813 - UND</t>
        </is>
      </c>
      <c r="C156" s="40">
        <f>SUMIFS(Detalle!$I$2:$I$326,Detalle!$T$2:$T$326,$B147,Detalle!$H$2:$H$326,$B156)</f>
        <v/>
      </c>
      <c r="D156" s="28">
        <f>SUMIFS(Detalle!$K$2:$K$326,Detalle!$T$2:$T$326,$B147,Detalle!$H$2:$H$326,$B156)</f>
        <v/>
      </c>
      <c r="E156" s="28">
        <f>SUMIFS(Detalle!$M$2:$M$326,Detalle!$T$2:$T$326,$B147,Detalle!$H$2:$H$326,$B156)</f>
        <v/>
      </c>
      <c r="F156" s="28">
        <f>D156+E156</f>
        <v/>
      </c>
    </row>
    <row r="157">
      <c r="B157" s="39" t="inlineStr">
        <is>
          <t>TUBO 1" IMC GALV 3MTS 1301-160693 - UND</t>
        </is>
      </c>
      <c r="C157" s="40">
        <f>SUMIFS(Detalle!$I$2:$I$326,Detalle!$T$2:$T$326,$B147,Detalle!$H$2:$H$326,$B157)</f>
        <v/>
      </c>
      <c r="D157" s="28">
        <f>SUMIFS(Detalle!$K$2:$K$326,Detalle!$T$2:$T$326,$B147,Detalle!$H$2:$H$326,$B157)</f>
        <v/>
      </c>
      <c r="E157" s="28">
        <f>SUMIFS(Detalle!$M$2:$M$326,Detalle!$T$2:$T$326,$B147,Detalle!$H$2:$H$326,$B157)</f>
        <v/>
      </c>
      <c r="F157" s="28">
        <f>D157+E157</f>
        <v/>
      </c>
    </row>
    <row r="158">
      <c r="B158" s="39" t="inlineStr">
        <is>
          <t>TUBO 3/4" EMT 3MTS S/UNION - UND</t>
        </is>
      </c>
      <c r="C158" s="40">
        <f>SUMIFS(Detalle!$I$2:$I$326,Detalle!$T$2:$T$326,$B147,Detalle!$H$2:$H$326,$B158)</f>
        <v/>
      </c>
      <c r="D158" s="28">
        <f>SUMIFS(Detalle!$K$2:$K$326,Detalle!$T$2:$T$326,$B147,Detalle!$H$2:$H$326,$B158)</f>
        <v/>
      </c>
      <c r="E158" s="28">
        <f>SUMIFS(Detalle!$M$2:$M$326,Detalle!$T$2:$T$326,$B147,Detalle!$H$2:$H$326,$B158)</f>
        <v/>
      </c>
      <c r="F158" s="28">
        <f>D158+E158</f>
        <v/>
      </c>
    </row>
    <row r="159">
      <c r="B159" s="39" t="inlineStr">
        <is>
          <t>ADAPTADOR 3" PVC TERMINAL CAMPANA - UND</t>
        </is>
      </c>
      <c r="C159" s="40">
        <f>SUMIFS(Detalle!$I$2:$I$326,Detalle!$T$2:$T$326,$B147,Detalle!$H$2:$H$326,$B159)</f>
        <v/>
      </c>
      <c r="D159" s="28">
        <f>SUMIFS(Detalle!$K$2:$K$326,Detalle!$T$2:$T$326,$B147,Detalle!$H$2:$H$326,$B159)</f>
        <v/>
      </c>
      <c r="E159" s="28">
        <f>SUMIFS(Detalle!$M$2:$M$326,Detalle!$T$2:$T$326,$B147,Detalle!$H$2:$H$326,$B159)</f>
        <v/>
      </c>
      <c r="F159" s="28">
        <f>D159+E159</f>
        <v/>
      </c>
    </row>
    <row r="160">
      <c r="B160" s="39" t="inlineStr">
        <is>
          <t>CURVA HORIZONTAL 90° PARA BANDEJA TIPO ESCALERA 20CMX8CM - UND</t>
        </is>
      </c>
      <c r="C160" s="40">
        <f>SUMIFS(Detalle!$I$2:$I$326,Detalle!$T$2:$T$326,$B147,Detalle!$H$2:$H$326,$B160)</f>
        <v/>
      </c>
      <c r="D160" s="28">
        <f>SUMIFS(Detalle!$K$2:$K$326,Detalle!$T$2:$T$326,$B147,Detalle!$H$2:$H$326,$B160)</f>
        <v/>
      </c>
      <c r="E160" s="28">
        <f>SUMIFS(Detalle!$M$2:$M$326,Detalle!$T$2:$T$326,$B147,Detalle!$H$2:$H$326,$B160)</f>
        <v/>
      </c>
      <c r="F160" s="28">
        <f>D160+E160</f>
        <v/>
      </c>
    </row>
    <row r="161">
      <c r="B161" s="39" t="inlineStr">
        <is>
          <t>CURVA 4" PVC NACIONAL CONDUIT (90° - 1 CAMPANA) - TUBOSA/IMEC - UND</t>
        </is>
      </c>
      <c r="C161" s="40">
        <f>SUMIFS(Detalle!$I$2:$I$326,Detalle!$T$2:$T$326,$B147,Detalle!$H$2:$H$326,$B161)</f>
        <v/>
      </c>
      <c r="D161" s="28">
        <f>SUMIFS(Detalle!$K$2:$K$326,Detalle!$T$2:$T$326,$B147,Detalle!$H$2:$H$326,$B161)</f>
        <v/>
      </c>
      <c r="E161" s="28">
        <f>SUMIFS(Detalle!$M$2:$M$326,Detalle!$T$2:$T$326,$B147,Detalle!$H$2:$H$326,$B161)</f>
        <v/>
      </c>
      <c r="F161" s="28">
        <f>D161+E161</f>
        <v/>
      </c>
    </row>
    <row r="162">
      <c r="B162" s="39" t="inlineStr">
        <is>
          <t>ADAPTADOR 4" PVC TERMINAL CAMPANA - UND</t>
        </is>
      </c>
      <c r="C162" s="40">
        <f>SUMIFS(Detalle!$I$2:$I$326,Detalle!$T$2:$T$326,$B147,Detalle!$H$2:$H$326,$B162)</f>
        <v/>
      </c>
      <c r="D162" s="28">
        <f>SUMIFS(Detalle!$K$2:$K$326,Detalle!$T$2:$T$326,$B147,Detalle!$H$2:$H$326,$B162)</f>
        <v/>
      </c>
      <c r="E162" s="28">
        <f>SUMIFS(Detalle!$M$2:$M$326,Detalle!$T$2:$T$326,$B147,Detalle!$H$2:$H$326,$B162)</f>
        <v/>
      </c>
      <c r="F162" s="28">
        <f>D162+E162</f>
        <v/>
      </c>
    </row>
    <row r="163">
      <c r="B163" s="39" t="inlineStr">
        <is>
          <t>CURVA VERTICAL EXTERIOR 90° BANDEJA SEMIPESADA 50x8cms GALVANIZADA - GALCO - UND</t>
        </is>
      </c>
      <c r="C163" s="40">
        <f>SUMIFS(Detalle!$I$2:$I$326,Detalle!$T$2:$T$326,$B147,Detalle!$H$2:$H$326,$B163)</f>
        <v/>
      </c>
      <c r="D163" s="28">
        <f>SUMIFS(Detalle!$K$2:$K$326,Detalle!$T$2:$T$326,$B147,Detalle!$H$2:$H$326,$B163)</f>
        <v/>
      </c>
      <c r="E163" s="28">
        <f>SUMIFS(Detalle!$M$2:$M$326,Detalle!$T$2:$T$326,$B147,Detalle!$H$2:$H$326,$B163)</f>
        <v/>
      </c>
      <c r="F163" s="28">
        <f>D163+E163</f>
        <v/>
      </c>
    </row>
    <row r="164">
      <c r="B164" s="39" t="inlineStr">
        <is>
          <t>CURVA VERTICAL EXTERNA 90° BANDEJA SEMIPESADA 20x8 CM GALVANIZADA – GALCO - UND</t>
        </is>
      </c>
      <c r="C164" s="40">
        <f>SUMIFS(Detalle!$I$2:$I$326,Detalle!$T$2:$T$326,$B147,Detalle!$H$2:$H$326,$B164)</f>
        <v/>
      </c>
      <c r="D164" s="28">
        <f>SUMIFS(Detalle!$K$2:$K$326,Detalle!$T$2:$T$326,$B147,Detalle!$H$2:$H$326,$B164)</f>
        <v/>
      </c>
      <c r="E164" s="28">
        <f>SUMIFS(Detalle!$M$2:$M$326,Detalle!$T$2:$T$326,$B147,Detalle!$H$2:$H$326,$B164)</f>
        <v/>
      </c>
      <c r="F164" s="28">
        <f>D164+E164</f>
        <v/>
      </c>
    </row>
    <row r="165">
      <c r="B165" s="39" t="inlineStr">
        <is>
          <t>TUBO 1/2" EMT 3MTS S/UNION - UND</t>
        </is>
      </c>
      <c r="C165" s="40">
        <f>SUMIFS(Detalle!$I$2:$I$326,Detalle!$T$2:$T$326,$B147,Detalle!$H$2:$H$326,$B165)</f>
        <v/>
      </c>
      <c r="D165" s="28">
        <f>SUMIFS(Detalle!$K$2:$K$326,Detalle!$T$2:$T$326,$B147,Detalle!$H$2:$H$326,$B165)</f>
        <v/>
      </c>
      <c r="E165" s="28">
        <f>SUMIFS(Detalle!$M$2:$M$326,Detalle!$T$2:$T$326,$B147,Detalle!$H$2:$H$326,$B165)</f>
        <v/>
      </c>
      <c r="F165" s="28">
        <f>D165+E165</f>
        <v/>
      </c>
    </row>
    <row r="166">
      <c r="B166" s="39" t="inlineStr">
        <is>
          <t>LAMPARA T8 1,20 MTS DOBLE TUBO LED 2X18W - UND</t>
        </is>
      </c>
      <c r="C166" s="40">
        <f>SUMIFS(Detalle!$I$2:$I$326,Detalle!$T$2:$T$326,$B147,Detalle!$H$2:$H$326,$B166)</f>
        <v/>
      </c>
      <c r="D166" s="28">
        <f>SUMIFS(Detalle!$K$2:$K$326,Detalle!$T$2:$T$326,$B147,Detalle!$H$2:$H$326,$B166)</f>
        <v/>
      </c>
      <c r="E166" s="28">
        <f>SUMIFS(Detalle!$M$2:$M$326,Detalle!$T$2:$T$326,$B147,Detalle!$H$2:$H$326,$B166)</f>
        <v/>
      </c>
      <c r="F166" s="28">
        <f>D166+E166</f>
        <v/>
      </c>
    </row>
    <row r="167">
      <c r="B167" s="39" t="inlineStr">
        <is>
          <t>ADAPTADOR 3" EMT ACERO E.V - UND</t>
        </is>
      </c>
      <c r="C167" s="40">
        <f>SUMIFS(Detalle!$I$2:$I$326,Detalle!$T$2:$T$326,$B147,Detalle!$H$2:$H$326,$B167)</f>
        <v/>
      </c>
      <c r="D167" s="28">
        <f>SUMIFS(Detalle!$K$2:$K$326,Detalle!$T$2:$T$326,$B147,Detalle!$H$2:$H$326,$B167)</f>
        <v/>
      </c>
      <c r="E167" s="28">
        <f>SUMIFS(Detalle!$M$2:$M$326,Detalle!$T$2:$T$326,$B147,Detalle!$H$2:$H$326,$B167)</f>
        <v/>
      </c>
      <c r="F167" s="28">
        <f>D167+E167</f>
        <v/>
      </c>
    </row>
    <row r="168">
      <c r="B168" s="39" t="inlineStr">
        <is>
          <t>ADAPTADOR 4"EMT - UND</t>
        </is>
      </c>
      <c r="C168" s="40">
        <f>SUMIFS(Detalle!$I$2:$I$326,Detalle!$T$2:$T$326,$B147,Detalle!$H$2:$H$326,$B168)</f>
        <v/>
      </c>
      <c r="D168" s="28">
        <f>SUMIFS(Detalle!$K$2:$K$326,Detalle!$T$2:$T$326,$B147,Detalle!$H$2:$H$326,$B168)</f>
        <v/>
      </c>
      <c r="E168" s="28">
        <f>SUMIFS(Detalle!$M$2:$M$326,Detalle!$T$2:$T$326,$B147,Detalle!$H$2:$H$326,$B168)</f>
        <v/>
      </c>
      <c r="F168" s="28">
        <f>D168+E168</f>
        <v/>
      </c>
    </row>
    <row r="169">
      <c r="B169" s="39" t="inlineStr">
        <is>
          <t>CURVA 1" PVC NACIONAL CONDUIT (90°/1 CAMPANA)- TUBOSA/IMEC 1302-160807 - UND</t>
        </is>
      </c>
      <c r="C169" s="40">
        <f>SUMIFS(Detalle!$I$2:$I$326,Detalle!$T$2:$T$326,$B147,Detalle!$H$2:$H$326,$B169)</f>
        <v/>
      </c>
      <c r="D169" s="28">
        <f>SUMIFS(Detalle!$K$2:$K$326,Detalle!$T$2:$T$326,$B147,Detalle!$H$2:$H$326,$B169)</f>
        <v/>
      </c>
      <c r="E169" s="28">
        <f>SUMIFS(Detalle!$M$2:$M$326,Detalle!$T$2:$T$326,$B147,Detalle!$H$2:$H$326,$B169)</f>
        <v/>
      </c>
      <c r="F169" s="28">
        <f>D169+E169</f>
        <v/>
      </c>
    </row>
    <row r="170">
      <c r="B170" s="39" t="inlineStr">
        <is>
          <t>ADAPTADOR 2" EMT - UND</t>
        </is>
      </c>
      <c r="C170" s="40">
        <f>SUMIFS(Detalle!$I$2:$I$326,Detalle!$T$2:$T$326,$B147,Detalle!$H$2:$H$326,$B170)</f>
        <v/>
      </c>
      <c r="D170" s="28">
        <f>SUMIFS(Detalle!$K$2:$K$326,Detalle!$T$2:$T$326,$B147,Detalle!$H$2:$H$326,$B170)</f>
        <v/>
      </c>
      <c r="E170" s="28">
        <f>SUMIFS(Detalle!$M$2:$M$326,Detalle!$T$2:$T$326,$B147,Detalle!$H$2:$H$326,$B170)</f>
        <v/>
      </c>
      <c r="F170" s="28">
        <f>D170+E170</f>
        <v/>
      </c>
    </row>
    <row r="171">
      <c r="B171" s="39" t="inlineStr">
        <is>
          <t>ADAPTADOR 3/4" EMT - UND</t>
        </is>
      </c>
      <c r="C171" s="40">
        <f>SUMIFS(Detalle!$I$2:$I$326,Detalle!$T$2:$T$326,$B147,Detalle!$H$2:$H$326,$B171)</f>
        <v/>
      </c>
      <c r="D171" s="28">
        <f>SUMIFS(Detalle!$K$2:$K$326,Detalle!$T$2:$T$326,$B147,Detalle!$H$2:$H$326,$B171)</f>
        <v/>
      </c>
      <c r="E171" s="28">
        <f>SUMIFS(Detalle!$M$2:$M$326,Detalle!$T$2:$T$326,$B147,Detalle!$H$2:$H$326,$B171)</f>
        <v/>
      </c>
      <c r="F171" s="28">
        <f>D171+E171</f>
        <v/>
      </c>
    </row>
    <row r="172">
      <c r="B172" s="39" t="inlineStr">
        <is>
          <t>CURVA 3/4" EMT E.V SOLUTIONS - UND</t>
        </is>
      </c>
      <c r="C172" s="40">
        <f>SUMIFS(Detalle!$I$2:$I$326,Detalle!$T$2:$T$326,$B147,Detalle!$H$2:$H$326,$B172)</f>
        <v/>
      </c>
      <c r="D172" s="28">
        <f>SUMIFS(Detalle!$K$2:$K$326,Detalle!$T$2:$T$326,$B147,Detalle!$H$2:$H$326,$B172)</f>
        <v/>
      </c>
      <c r="E172" s="28">
        <f>SUMIFS(Detalle!$M$2:$M$326,Detalle!$T$2:$T$326,$B147,Detalle!$H$2:$H$326,$B172)</f>
        <v/>
      </c>
      <c r="F172" s="28">
        <f>D172+E172</f>
        <v/>
      </c>
    </row>
    <row r="173">
      <c r="B173" s="39" t="inlineStr">
        <is>
          <t>ADAPTADOR 1/2"EMT - UND</t>
        </is>
      </c>
      <c r="C173" s="40">
        <f>SUMIFS(Detalle!$I$2:$I$326,Detalle!$T$2:$T$326,$B147,Detalle!$H$2:$H$326,$B173)</f>
        <v/>
      </c>
      <c r="D173" s="28">
        <f>SUMIFS(Detalle!$K$2:$K$326,Detalle!$T$2:$T$326,$B147,Detalle!$H$2:$H$326,$B173)</f>
        <v/>
      </c>
      <c r="E173" s="28">
        <f>SUMIFS(Detalle!$M$2:$M$326,Detalle!$T$2:$T$326,$B147,Detalle!$H$2:$H$326,$B173)</f>
        <v/>
      </c>
      <c r="F173" s="28">
        <f>D173+E173</f>
        <v/>
      </c>
    </row>
    <row r="174">
      <c r="B174" s="39" t="inlineStr">
        <is>
          <t>ADAPTADOR 1" PVC - UND</t>
        </is>
      </c>
      <c r="C174" s="40">
        <f>SUMIFS(Detalle!$I$2:$I$326,Detalle!$T$2:$T$326,$B147,Detalle!$H$2:$H$326,$B174)</f>
        <v/>
      </c>
      <c r="D174" s="28">
        <f>SUMIFS(Detalle!$K$2:$K$326,Detalle!$T$2:$T$326,$B147,Detalle!$H$2:$H$326,$B174)</f>
        <v/>
      </c>
      <c r="E174" s="28">
        <f>SUMIFS(Detalle!$M$2:$M$326,Detalle!$T$2:$T$326,$B147,Detalle!$H$2:$H$326,$B174)</f>
        <v/>
      </c>
      <c r="F174" s="28">
        <f>D174+E174</f>
        <v/>
      </c>
    </row>
    <row r="175">
      <c r="B175" s="39" t="inlineStr">
        <is>
          <t>CURVA 1/2"EMT RANGO LARGO - UND</t>
        </is>
      </c>
      <c r="C175" s="40">
        <f>SUMIFS(Detalle!$I$2:$I$326,Detalle!$T$2:$T$326,$B147,Detalle!$H$2:$H$326,$B175)</f>
        <v/>
      </c>
      <c r="D175" s="28">
        <f>SUMIFS(Detalle!$K$2:$K$326,Detalle!$T$2:$T$326,$B147,Detalle!$H$2:$H$326,$B175)</f>
        <v/>
      </c>
      <c r="E175" s="28">
        <f>SUMIFS(Detalle!$M$2:$M$326,Detalle!$T$2:$T$326,$B147,Detalle!$H$2:$H$326,$B175)</f>
        <v/>
      </c>
      <c r="F175" s="28">
        <f>D175+E175</f>
        <v/>
      </c>
    </row>
    <row r="176">
      <c r="B176" s="20" t="inlineStr">
        <is>
          <t>Transformadores y celdas</t>
        </is>
      </c>
      <c r="C176" s="38">
        <f>SUMIFS(Detalle!$I$2:$I$326,Detalle!$T$2:$T$326,$B176)</f>
        <v/>
      </c>
      <c r="D176" s="21">
        <f>SUMIFS(Detalle!$K$2:$K$326,Detalle!$T$2:$T$326,$B176)</f>
        <v/>
      </c>
      <c r="E176" s="21">
        <f>SUMIFS(Detalle!$M$2:$M$326,Detalle!$T$2:$T$326,$B176)</f>
        <v/>
      </c>
      <c r="F176" s="21">
        <f>D176+E176</f>
        <v/>
      </c>
    </row>
    <row r="177">
      <c r="B177" s="39" t="inlineStr">
        <is>
          <t>CELDA PARA TRANSFORMADOR SECO DE 1250 KVA CLASE H 13.2KV - UND</t>
        </is>
      </c>
      <c r="C177" s="40">
        <f>SUMIFS(Detalle!$I$2:$I$326,Detalle!$T$2:$T$326,$B176,Detalle!$H$2:$H$326,$B177)</f>
        <v/>
      </c>
      <c r="D177" s="28">
        <f>SUMIFS(Detalle!$K$2:$K$326,Detalle!$T$2:$T$326,$B176,Detalle!$H$2:$H$326,$B177)</f>
        <v/>
      </c>
      <c r="E177" s="28">
        <f>SUMIFS(Detalle!$M$2:$M$326,Detalle!$T$2:$T$326,$B176,Detalle!$H$2:$H$326,$B177)</f>
        <v/>
      </c>
      <c r="F177" s="28">
        <f>D177+E177</f>
        <v/>
      </c>
    </row>
    <row r="178">
      <c r="B178" s="20" t="inlineStr">
        <is>
          <t>Baños y sanitarios portátiles</t>
        </is>
      </c>
      <c r="C178" s="38">
        <f>SUMIFS(Detalle!$I$2:$I$326,Detalle!$T$2:$T$326,$B178)</f>
        <v/>
      </c>
      <c r="D178" s="21">
        <f>SUMIFS(Detalle!$K$2:$K$326,Detalle!$T$2:$T$326,$B178)</f>
        <v/>
      </c>
      <c r="E178" s="21">
        <f>SUMIFS(Detalle!$M$2:$M$326,Detalle!$T$2:$T$326,$B178)</f>
        <v/>
      </c>
      <c r="F178" s="21">
        <f>D178+E178</f>
        <v/>
      </c>
    </row>
    <row r="179">
      <c r="B179" s="39" t="inlineStr">
        <is>
          <t>ALQUILER DE BAÑO PORTATIL - UND</t>
        </is>
      </c>
      <c r="C179" s="40">
        <f>SUMIFS(Detalle!$I$2:$I$326,Detalle!$T$2:$T$326,$B178,Detalle!$H$2:$H$326,$B179)</f>
        <v/>
      </c>
      <c r="D179" s="28">
        <f>SUMIFS(Detalle!$K$2:$K$326,Detalle!$T$2:$T$326,$B178,Detalle!$H$2:$H$326,$B179)</f>
        <v/>
      </c>
      <c r="E179" s="28">
        <f>SUMIFS(Detalle!$M$2:$M$326,Detalle!$T$2:$T$326,$B178,Detalle!$H$2:$H$326,$B179)</f>
        <v/>
      </c>
      <c r="F179" s="28">
        <f>D179+E179</f>
        <v/>
      </c>
    </row>
    <row r="180">
      <c r="B180" s="39" t="inlineStr">
        <is>
          <t>ALQUILER DE LAVAMANOS PORTATIL - UND</t>
        </is>
      </c>
      <c r="C180" s="40">
        <f>SUMIFS(Detalle!$I$2:$I$326,Detalle!$T$2:$T$326,$B178,Detalle!$H$2:$H$326,$B180)</f>
        <v/>
      </c>
      <c r="D180" s="28">
        <f>SUMIFS(Detalle!$K$2:$K$326,Detalle!$T$2:$T$326,$B178,Detalle!$H$2:$H$326,$B180)</f>
        <v/>
      </c>
      <c r="E180" s="28">
        <f>SUMIFS(Detalle!$M$2:$M$326,Detalle!$T$2:$T$326,$B178,Detalle!$H$2:$H$326,$B180)</f>
        <v/>
      </c>
      <c r="F180" s="28">
        <f>D180+E180</f>
        <v/>
      </c>
    </row>
    <row r="181">
      <c r="B181" s="20" t="inlineStr">
        <is>
          <t>Otros / sin clasificar</t>
        </is>
      </c>
      <c r="C181" s="38">
        <f>SUMIFS(Detalle!$I$2:$I$326,Detalle!$T$2:$T$326,$B181)</f>
        <v/>
      </c>
      <c r="D181" s="21">
        <f>SUMIFS(Detalle!$K$2:$K$326,Detalle!$T$2:$T$326,$B181)</f>
        <v/>
      </c>
      <c r="E181" s="21">
        <f>SUMIFS(Detalle!$M$2:$M$326,Detalle!$T$2:$T$326,$B181)</f>
        <v/>
      </c>
      <c r="F181" s="21">
        <f>D181+E181</f>
        <v/>
      </c>
    </row>
    <row r="182">
      <c r="B182" s="39" t="inlineStr">
        <is>
          <t>SOLDADURA 90 GRAMOS - GROUNDING - UND</t>
        </is>
      </c>
      <c r="C182" s="40">
        <f>SUMIFS(Detalle!$I$2:$I$326,Detalle!$T$2:$T$326,$B181,Detalle!$H$2:$H$326,$B182)</f>
        <v/>
      </c>
      <c r="D182" s="28">
        <f>SUMIFS(Detalle!$K$2:$K$326,Detalle!$T$2:$T$326,$B181,Detalle!$H$2:$H$326,$B182)</f>
        <v/>
      </c>
      <c r="E182" s="28">
        <f>SUMIFS(Detalle!$M$2:$M$326,Detalle!$T$2:$T$326,$B181,Detalle!$H$2:$H$326,$B182)</f>
        <v/>
      </c>
      <c r="F182" s="28">
        <f>D182+E182</f>
        <v/>
      </c>
    </row>
    <row r="183">
      <c r="B183" s="39" t="inlineStr">
        <is>
          <t>GUADUA MADERA - UND</t>
        </is>
      </c>
      <c r="C183" s="40">
        <f>SUMIFS(Detalle!$I$2:$I$326,Detalle!$T$2:$T$326,$B181,Detalle!$H$2:$H$326,$B183)</f>
        <v/>
      </c>
      <c r="D183" s="28">
        <f>SUMIFS(Detalle!$K$2:$K$326,Detalle!$T$2:$T$326,$B181,Detalle!$H$2:$H$326,$B183)</f>
        <v/>
      </c>
      <c r="E183" s="28">
        <f>SUMIFS(Detalle!$M$2:$M$326,Detalle!$T$2:$T$326,$B181,Detalle!$H$2:$H$326,$B183)</f>
        <v/>
      </c>
      <c r="F183" s="28">
        <f>D183+E183</f>
        <v/>
      </c>
    </row>
    <row r="184">
      <c r="B184" s="39" t="inlineStr">
        <is>
          <t>LISTON DE MADERA 4 X 8 X 300 CM - UND</t>
        </is>
      </c>
      <c r="C184" s="40">
        <f>SUMIFS(Detalle!$I$2:$I$326,Detalle!$T$2:$T$326,$B181,Detalle!$H$2:$H$326,$B184)</f>
        <v/>
      </c>
      <c r="D184" s="28">
        <f>SUMIFS(Detalle!$K$2:$K$326,Detalle!$T$2:$T$326,$B181,Detalle!$H$2:$H$326,$B184)</f>
        <v/>
      </c>
      <c r="E184" s="28">
        <f>SUMIFS(Detalle!$M$2:$M$326,Detalle!$T$2:$T$326,$B181,Detalle!$H$2:$H$326,$B184)</f>
        <v/>
      </c>
      <c r="F184" s="28">
        <f>D184+E184</f>
        <v/>
      </c>
    </row>
    <row r="185">
      <c r="B185" s="39" t="inlineStr">
        <is>
          <t>POLISOMBRA NEGRA AL 80% X  4.00 MTS - UND</t>
        </is>
      </c>
      <c r="C185" s="40">
        <f>SUMIFS(Detalle!$I$2:$I$326,Detalle!$T$2:$T$326,$B181,Detalle!$H$2:$H$326,$B185)</f>
        <v/>
      </c>
      <c r="D185" s="28">
        <f>SUMIFS(Detalle!$K$2:$K$326,Detalle!$T$2:$T$326,$B181,Detalle!$H$2:$H$326,$B185)</f>
        <v/>
      </c>
      <c r="E185" s="28">
        <f>SUMIFS(Detalle!$M$2:$M$326,Detalle!$T$2:$T$326,$B181,Detalle!$H$2:$H$326,$B185)</f>
        <v/>
      </c>
      <c r="F185" s="28">
        <f>D185+E185</f>
        <v/>
      </c>
    </row>
    <row r="186">
      <c r="B186" s="39" t="inlineStr">
        <is>
          <t>EXTINTOR TIPO CO2 CLASE BC X 10LB (ACERO) - UND</t>
        </is>
      </c>
      <c r="C186" s="40">
        <f>SUMIFS(Detalle!$I$2:$I$326,Detalle!$T$2:$T$326,$B181,Detalle!$H$2:$H$326,$B186)</f>
        <v/>
      </c>
      <c r="D186" s="28">
        <f>SUMIFS(Detalle!$K$2:$K$326,Detalle!$T$2:$T$326,$B181,Detalle!$H$2:$H$326,$B186)</f>
        <v/>
      </c>
      <c r="E186" s="28">
        <f>SUMIFS(Detalle!$M$2:$M$326,Detalle!$T$2:$T$326,$B181,Detalle!$H$2:$H$326,$B186)</f>
        <v/>
      </c>
      <c r="F186" s="28">
        <f>D186+E186</f>
        <v/>
      </c>
    </row>
    <row r="187">
      <c r="B187" s="39" t="inlineStr">
        <is>
          <t>LISTON DE MADERA 4 X 4 X 300 CM - UND</t>
        </is>
      </c>
      <c r="C187" s="40">
        <f>SUMIFS(Detalle!$I$2:$I$326,Detalle!$T$2:$T$326,$B181,Detalle!$H$2:$H$326,$B187)</f>
        <v/>
      </c>
      <c r="D187" s="28">
        <f>SUMIFS(Detalle!$K$2:$K$326,Detalle!$T$2:$T$326,$B181,Detalle!$H$2:$H$326,$B187)</f>
        <v/>
      </c>
      <c r="E187" s="28">
        <f>SUMIFS(Detalle!$M$2:$M$326,Detalle!$T$2:$T$326,$B181,Detalle!$H$2:$H$326,$B187)</f>
        <v/>
      </c>
      <c r="F187" s="28">
        <f>D187+E187</f>
        <v/>
      </c>
    </row>
    <row r="188">
      <c r="B188" s="39" t="inlineStr">
        <is>
          <t>CINTA AUTOFUNDENTE (W963 PLYMOUTH) 1907-2117 - UND</t>
        </is>
      </c>
      <c r="C188" s="40">
        <f>SUMIFS(Detalle!$I$2:$I$326,Detalle!$T$2:$T$326,$B181,Detalle!$H$2:$H$326,$B188)</f>
        <v/>
      </c>
      <c r="D188" s="28">
        <f>SUMIFS(Detalle!$K$2:$K$326,Detalle!$T$2:$T$326,$B181,Detalle!$H$2:$H$326,$B188)</f>
        <v/>
      </c>
      <c r="E188" s="28">
        <f>SUMIFS(Detalle!$M$2:$M$326,Detalle!$T$2:$T$326,$B181,Detalle!$H$2:$H$326,$B188)</f>
        <v/>
      </c>
      <c r="F188" s="28">
        <f>D188+E188</f>
        <v/>
      </c>
    </row>
    <row r="189">
      <c r="B189" s="39" t="inlineStr">
        <is>
          <t>PINZA PARA MOLDE UNIVERSAL - GROUNDING - UND</t>
        </is>
      </c>
      <c r="C189" s="40">
        <f>SUMIFS(Detalle!$I$2:$I$326,Detalle!$T$2:$T$326,$B181,Detalle!$H$2:$H$326,$B189)</f>
        <v/>
      </c>
      <c r="D189" s="28">
        <f>SUMIFS(Detalle!$K$2:$K$326,Detalle!$T$2:$T$326,$B181,Detalle!$H$2:$H$326,$B189)</f>
        <v/>
      </c>
      <c r="E189" s="28">
        <f>SUMIFS(Detalle!$M$2:$M$326,Detalle!$T$2:$T$326,$B181,Detalle!$H$2:$H$326,$B189)</f>
        <v/>
      </c>
      <c r="F189" s="28">
        <f>D189+E189</f>
        <v/>
      </c>
    </row>
    <row r="190">
      <c r="B190" s="39" t="inlineStr">
        <is>
          <t>MOLDE EN X 1/0-1/0 - GROUNDING - UND</t>
        </is>
      </c>
      <c r="C190" s="40">
        <f>SUMIFS(Detalle!$I$2:$I$326,Detalle!$T$2:$T$326,$B181,Detalle!$H$2:$H$326,$B190)</f>
        <v/>
      </c>
      <c r="D190" s="28">
        <f>SUMIFS(Detalle!$K$2:$K$326,Detalle!$T$2:$T$326,$B181,Detalle!$H$2:$H$326,$B190)</f>
        <v/>
      </c>
      <c r="E190" s="28">
        <f>SUMIFS(Detalle!$M$2:$M$326,Detalle!$T$2:$T$326,$B181,Detalle!$H$2:$H$326,$B190)</f>
        <v/>
      </c>
      <c r="F190" s="28">
        <f>D190+E190</f>
        <v/>
      </c>
    </row>
    <row r="191">
      <c r="B191" s="39" t="inlineStr">
        <is>
          <t>MOLDE EN T 1/0-VAR 5/8 - GROUNDING - UND</t>
        </is>
      </c>
      <c r="C191" s="40">
        <f>SUMIFS(Detalle!$I$2:$I$326,Detalle!$T$2:$T$326,$B181,Detalle!$H$2:$H$326,$B191)</f>
        <v/>
      </c>
      <c r="D191" s="28">
        <f>SUMIFS(Detalle!$K$2:$K$326,Detalle!$T$2:$T$326,$B181,Detalle!$H$2:$H$326,$B191)</f>
        <v/>
      </c>
      <c r="E191" s="28">
        <f>SUMIFS(Detalle!$M$2:$M$326,Detalle!$T$2:$T$326,$B181,Detalle!$H$2:$H$326,$B191)</f>
        <v/>
      </c>
      <c r="F191" s="28">
        <f>D191+E191</f>
        <v/>
      </c>
    </row>
    <row r="192">
      <c r="B192" s="39" t="inlineStr">
        <is>
          <t>ESPIRAL 3/4" - UND</t>
        </is>
      </c>
      <c r="C192" s="40">
        <f>SUMIFS(Detalle!$I$2:$I$326,Detalle!$T$2:$T$326,$B181,Detalle!$H$2:$H$326,$B192)</f>
        <v/>
      </c>
      <c r="D192" s="28">
        <f>SUMIFS(Detalle!$K$2:$K$326,Detalle!$T$2:$T$326,$B181,Detalle!$H$2:$H$326,$B192)</f>
        <v/>
      </c>
      <c r="E192" s="28">
        <f>SUMIFS(Detalle!$M$2:$M$326,Detalle!$T$2:$T$326,$B181,Detalle!$H$2:$H$326,$B192)</f>
        <v/>
      </c>
      <c r="F192" s="28">
        <f>D192+E192</f>
        <v/>
      </c>
    </row>
    <row r="193">
      <c r="B193" s="39" t="inlineStr">
        <is>
          <t>LED EMERGENCIA R1 (SYLVANIA) - UND</t>
        </is>
      </c>
      <c r="C193" s="40">
        <f>SUMIFS(Detalle!$I$2:$I$326,Detalle!$T$2:$T$326,$B181,Detalle!$H$2:$H$326,$B193)</f>
        <v/>
      </c>
      <c r="D193" s="28">
        <f>SUMIFS(Detalle!$K$2:$K$326,Detalle!$T$2:$T$326,$B181,Detalle!$H$2:$H$326,$B193)</f>
        <v/>
      </c>
      <c r="E193" s="28">
        <f>SUMIFS(Detalle!$M$2:$M$326,Detalle!$T$2:$T$326,$B181,Detalle!$H$2:$H$326,$B193)</f>
        <v/>
      </c>
      <c r="F193" s="28">
        <f>D193+E193</f>
        <v/>
      </c>
    </row>
    <row r="194">
      <c r="B194" s="39" t="inlineStr">
        <is>
          <t>PRENSAESTOPA 3/4" 10-22 MM PG21 COMPLETA DEXSON 1304-DXN35060 - UND</t>
        </is>
      </c>
      <c r="C194" s="40">
        <f>SUMIFS(Detalle!$I$2:$I$326,Detalle!$T$2:$T$326,$B181,Detalle!$H$2:$H$326,$B194)</f>
        <v/>
      </c>
      <c r="D194" s="28">
        <f>SUMIFS(Detalle!$K$2:$K$326,Detalle!$T$2:$T$326,$B181,Detalle!$H$2:$H$326,$B194)</f>
        <v/>
      </c>
      <c r="E194" s="28">
        <f>SUMIFS(Detalle!$M$2:$M$326,Detalle!$T$2:$T$326,$B181,Detalle!$H$2:$H$326,$B194)</f>
        <v/>
      </c>
      <c r="F194" s="28">
        <f>D194+E194</f>
        <v/>
      </c>
    </row>
    <row r="195">
      <c r="B195" s="39" t="inlineStr">
        <is>
          <t>CRUZ HORIZONTAL DE 50X50 50X30 X8 CMS EN LAMINA PREGALVANIZADA - CL - UND</t>
        </is>
      </c>
      <c r="C195" s="40">
        <f>SUMIFS(Detalle!$I$2:$I$326,Detalle!$T$2:$T$326,$B181,Detalle!$H$2:$H$326,$B195)</f>
        <v/>
      </c>
      <c r="D195" s="28">
        <f>SUMIFS(Detalle!$K$2:$K$326,Detalle!$T$2:$T$326,$B181,Detalle!$H$2:$H$326,$B195)</f>
        <v/>
      </c>
      <c r="E195" s="28">
        <f>SUMIFS(Detalle!$M$2:$M$326,Detalle!$T$2:$T$326,$B181,Detalle!$H$2:$H$326,$B195)</f>
        <v/>
      </c>
      <c r="F195" s="28">
        <f>D195+E195</f>
        <v/>
      </c>
    </row>
    <row r="196">
      <c r="B196" s="39" t="inlineStr">
        <is>
          <t>DISCO CORTE METAL X 7" - UND</t>
        </is>
      </c>
      <c r="C196" s="40">
        <f>SUMIFS(Detalle!$I$2:$I$326,Detalle!$T$2:$T$326,$B181,Detalle!$H$2:$H$326,$B196)</f>
        <v/>
      </c>
      <c r="D196" s="28">
        <f>SUMIFS(Detalle!$K$2:$K$326,Detalle!$T$2:$T$326,$B181,Detalle!$H$2:$H$326,$B196)</f>
        <v/>
      </c>
      <c r="E196" s="28">
        <f>SUMIFS(Detalle!$M$2:$M$326,Detalle!$T$2:$T$326,$B181,Detalle!$H$2:$H$326,$B196)</f>
        <v/>
      </c>
      <c r="F196" s="28">
        <f>D196+E196</f>
        <v/>
      </c>
    </row>
    <row r="197">
      <c r="B197" s="39" t="inlineStr">
        <is>
          <t>PUNTILLA LISA DE HIERRO X 2" - UND</t>
        </is>
      </c>
      <c r="C197" s="40">
        <f>SUMIFS(Detalle!$I$2:$I$326,Detalle!$T$2:$T$326,$B181,Detalle!$H$2:$H$326,$B197)</f>
        <v/>
      </c>
      <c r="D197" s="28">
        <f>SUMIFS(Detalle!$K$2:$K$326,Detalle!$T$2:$T$326,$B181,Detalle!$H$2:$H$326,$B197)</f>
        <v/>
      </c>
      <c r="E197" s="28">
        <f>SUMIFS(Detalle!$M$2:$M$326,Detalle!$T$2:$T$326,$B181,Detalle!$H$2:$H$326,$B197)</f>
        <v/>
      </c>
      <c r="F197" s="28">
        <f>D197+E197</f>
        <v/>
      </c>
    </row>
    <row r="198">
      <c r="B198" s="39" t="inlineStr">
        <is>
          <t>AMARRAS 21" PLÁSTICAS 55 CM 7.6 120 NEGRO DEXSON - UND</t>
        </is>
      </c>
      <c r="C198" s="40">
        <f>SUMIFS(Detalle!$I$2:$I$326,Detalle!$T$2:$T$326,$B181,Detalle!$H$2:$H$326,$B198)</f>
        <v/>
      </c>
      <c r="D198" s="28">
        <f>SUMIFS(Detalle!$K$2:$K$326,Detalle!$T$2:$T$326,$B181,Detalle!$H$2:$H$326,$B198)</f>
        <v/>
      </c>
      <c r="E198" s="28">
        <f>SUMIFS(Detalle!$M$2:$M$326,Detalle!$T$2:$T$326,$B181,Detalle!$H$2:$H$326,$B198)</f>
        <v/>
      </c>
      <c r="F198" s="28">
        <f>D198+E198</f>
        <v/>
      </c>
    </row>
    <row r="199">
      <c r="B199" s="39" t="inlineStr">
        <is>
          <t>SENSOR DE HUMO LYNX SECURITY LY-DH4T - UND</t>
        </is>
      </c>
      <c r="C199" s="40">
        <f>SUMIFS(Detalle!$I$2:$I$326,Detalle!$T$2:$T$326,$B181,Detalle!$H$2:$H$326,$B199)</f>
        <v/>
      </c>
      <c r="D199" s="28">
        <f>SUMIFS(Detalle!$K$2:$K$326,Detalle!$T$2:$T$326,$B181,Detalle!$H$2:$H$326,$B199)</f>
        <v/>
      </c>
      <c r="E199" s="28">
        <f>SUMIFS(Detalle!$M$2:$M$326,Detalle!$T$2:$T$326,$B181,Detalle!$H$2:$H$326,$B199)</f>
        <v/>
      </c>
      <c r="F199" s="28">
        <f>D199+E199</f>
        <v/>
      </c>
    </row>
    <row r="200">
      <c r="B200" s="39" t="inlineStr">
        <is>
          <t>PUNTILLA LISA DE HIERRO X 2 1/2" - UND</t>
        </is>
      </c>
      <c r="C200" s="40">
        <f>SUMIFS(Detalle!$I$2:$I$326,Detalle!$T$2:$T$326,$B181,Detalle!$H$2:$H$326,$B200)</f>
        <v/>
      </c>
      <c r="D200" s="28">
        <f>SUMIFS(Detalle!$K$2:$K$326,Detalle!$T$2:$T$326,$B181,Detalle!$H$2:$H$326,$B200)</f>
        <v/>
      </c>
      <c r="E200" s="28">
        <f>SUMIFS(Detalle!$M$2:$M$326,Detalle!$T$2:$T$326,$B181,Detalle!$H$2:$H$326,$B200)</f>
        <v/>
      </c>
      <c r="F200" s="28">
        <f>D200+E200</f>
        <v/>
      </c>
    </row>
    <row r="201">
      <c r="B201" s="39" t="inlineStr">
        <is>
          <t>REFLECTOR LED 20W - UND</t>
        </is>
      </c>
      <c r="C201" s="40">
        <f>SUMIFS(Detalle!$I$2:$I$326,Detalle!$T$2:$T$326,$B181,Detalle!$H$2:$H$326,$B201)</f>
        <v/>
      </c>
      <c r="D201" s="28">
        <f>SUMIFS(Detalle!$K$2:$K$326,Detalle!$T$2:$T$326,$B181,Detalle!$H$2:$H$326,$B201)</f>
        <v/>
      </c>
      <c r="E201" s="28">
        <f>SUMIFS(Detalle!$M$2:$M$326,Detalle!$T$2:$T$326,$B181,Detalle!$H$2:$H$326,$B201)</f>
        <v/>
      </c>
      <c r="F201" s="28">
        <f>D201+E201</f>
        <v/>
      </c>
    </row>
    <row r="202">
      <c r="B202" s="39" t="inlineStr">
        <is>
          <t>CAPACETE 4" IMC GALVANIZADO - S/M - UND</t>
        </is>
      </c>
      <c r="C202" s="40">
        <f>SUMIFS(Detalle!$I$2:$I$326,Detalle!$T$2:$T$326,$B181,Detalle!$H$2:$H$326,$B202)</f>
        <v/>
      </c>
      <c r="D202" s="28">
        <f>SUMIFS(Detalle!$K$2:$K$326,Detalle!$T$2:$T$326,$B181,Detalle!$H$2:$H$326,$B202)</f>
        <v/>
      </c>
      <c r="E202" s="28">
        <f>SUMIFS(Detalle!$M$2:$M$326,Detalle!$T$2:$T$326,$B181,Detalle!$H$2:$H$326,$B202)</f>
        <v/>
      </c>
      <c r="F202" s="28">
        <f>D202+E202</f>
        <v/>
      </c>
    </row>
    <row r="203">
      <c r="B203" s="39" t="inlineStr">
        <is>
          <t>PUNTILLA ACERO 21/2" - UND</t>
        </is>
      </c>
      <c r="C203" s="40">
        <f>SUMIFS(Detalle!$I$2:$I$326,Detalle!$T$2:$T$326,$B181,Detalle!$H$2:$H$326,$B203)</f>
        <v/>
      </c>
      <c r="D203" s="28">
        <f>SUMIFS(Detalle!$K$2:$K$326,Detalle!$T$2:$T$326,$B181,Detalle!$H$2:$H$326,$B203)</f>
        <v/>
      </c>
      <c r="E203" s="28">
        <f>SUMIFS(Detalle!$M$2:$M$326,Detalle!$T$2:$T$326,$B181,Detalle!$H$2:$H$326,$B203)</f>
        <v/>
      </c>
      <c r="F203" s="28">
        <f>D203+E203</f>
        <v/>
      </c>
    </row>
    <row r="204">
      <c r="B204" s="39" t="inlineStr">
        <is>
          <t>CHISPERO TIPO PISTOLA PARA SOLDADURA  - GROUNDING - UND</t>
        </is>
      </c>
      <c r="C204" s="40">
        <f>SUMIFS(Detalle!$I$2:$I$326,Detalle!$T$2:$T$326,$B181,Detalle!$H$2:$H$326,$B204)</f>
        <v/>
      </c>
      <c r="D204" s="28">
        <f>SUMIFS(Detalle!$K$2:$K$326,Detalle!$T$2:$T$326,$B181,Detalle!$H$2:$H$326,$B204)</f>
        <v/>
      </c>
      <c r="E204" s="28">
        <f>SUMIFS(Detalle!$M$2:$M$326,Detalle!$T$2:$T$326,$B181,Detalle!$H$2:$H$326,$B204)</f>
        <v/>
      </c>
      <c r="F204" s="28">
        <f>D204+E204</f>
        <v/>
      </c>
    </row>
    <row r="205">
      <c r="B205" s="39" t="inlineStr">
        <is>
          <t>ESPIRAL 1/2" - UND</t>
        </is>
      </c>
      <c r="C205" s="40">
        <f>SUMIFS(Detalle!$I$2:$I$326,Detalle!$T$2:$T$326,$B181,Detalle!$H$2:$H$326,$B205)</f>
        <v/>
      </c>
      <c r="D205" s="28">
        <f>SUMIFS(Detalle!$K$2:$K$326,Detalle!$T$2:$T$326,$B181,Detalle!$H$2:$H$326,$B205)</f>
        <v/>
      </c>
      <c r="E205" s="28">
        <f>SUMIFS(Detalle!$M$2:$M$326,Detalle!$T$2:$T$326,$B181,Detalle!$H$2:$H$326,$B205)</f>
        <v/>
      </c>
      <c r="F205" s="28">
        <f>D205+E205</f>
        <v/>
      </c>
    </row>
    <row r="206">
      <c r="B206" s="39" t="inlineStr">
        <is>
          <t>SOLDADURA PVC VERDEV 1/4 (S-29)  UND GERFOR - UND</t>
        </is>
      </c>
      <c r="C206" s="40">
        <f>SUMIFS(Detalle!$I$2:$I$326,Detalle!$T$2:$T$326,$B181,Detalle!$H$2:$H$326,$B206)</f>
        <v/>
      </c>
      <c r="D206" s="28">
        <f>SUMIFS(Detalle!$K$2:$K$326,Detalle!$T$2:$T$326,$B181,Detalle!$H$2:$H$326,$B206)</f>
        <v/>
      </c>
      <c r="E206" s="28">
        <f>SUMIFS(Detalle!$M$2:$M$326,Detalle!$T$2:$T$326,$B181,Detalle!$H$2:$H$326,$B206)</f>
        <v/>
      </c>
      <c r="F206" s="28">
        <f>D206+E206</f>
        <v/>
      </c>
    </row>
    <row r="207">
      <c r="B207" s="39" t="inlineStr">
        <is>
          <t>CINTA AISLANTE NARANJA - UND</t>
        </is>
      </c>
      <c r="C207" s="40">
        <f>SUMIFS(Detalle!$I$2:$I$326,Detalle!$T$2:$T$326,$B181,Detalle!$H$2:$H$326,$B207)</f>
        <v/>
      </c>
      <c r="D207" s="28">
        <f>SUMIFS(Detalle!$K$2:$K$326,Detalle!$T$2:$T$326,$B181,Detalle!$H$2:$H$326,$B207)</f>
        <v/>
      </c>
      <c r="E207" s="28">
        <f>SUMIFS(Detalle!$M$2:$M$326,Detalle!$T$2:$T$326,$B181,Detalle!$H$2:$H$326,$B207)</f>
        <v/>
      </c>
      <c r="F207" s="28">
        <f>D207+E207</f>
        <v/>
      </c>
    </row>
    <row r="208">
      <c r="B208" s="39" t="inlineStr">
        <is>
          <t>CINTA VERDE PVC AISLANTE  X 20 MTS (T5 PLYMOUTH X 19 MM) 1907-1-N10-5233 - UND</t>
        </is>
      </c>
      <c r="C208" s="40">
        <f>SUMIFS(Detalle!$I$2:$I$326,Detalle!$T$2:$T$326,$B181,Detalle!$H$2:$H$326,$B208)</f>
        <v/>
      </c>
      <c r="D208" s="28">
        <f>SUMIFS(Detalle!$K$2:$K$326,Detalle!$T$2:$T$326,$B181,Detalle!$H$2:$H$326,$B208)</f>
        <v/>
      </c>
      <c r="E208" s="28">
        <f>SUMIFS(Detalle!$M$2:$M$326,Detalle!$T$2:$T$326,$B181,Detalle!$H$2:$H$326,$B208)</f>
        <v/>
      </c>
      <c r="F208" s="28">
        <f>D208+E208</f>
        <v/>
      </c>
    </row>
    <row r="209">
      <c r="B209" s="39" t="inlineStr">
        <is>
          <t>CINTA BLANCA PVC AISLANTE  X 20 MTS (T5 PLYMOUTH X 19 MM) 1907-1-N10-5231 - UND</t>
        </is>
      </c>
      <c r="C209" s="40">
        <f>SUMIFS(Detalle!$I$2:$I$326,Detalle!$T$2:$T$326,$B181,Detalle!$H$2:$H$326,$B209)</f>
        <v/>
      </c>
      <c r="D209" s="28">
        <f>SUMIFS(Detalle!$K$2:$K$326,Detalle!$T$2:$T$326,$B181,Detalle!$H$2:$H$326,$B209)</f>
        <v/>
      </c>
      <c r="E209" s="28">
        <f>SUMIFS(Detalle!$M$2:$M$326,Detalle!$T$2:$T$326,$B181,Detalle!$H$2:$H$326,$B209)</f>
        <v/>
      </c>
      <c r="F209" s="28">
        <f>D209+E209</f>
        <v/>
      </c>
    </row>
    <row r="210">
      <c r="B210" s="39" t="inlineStr">
        <is>
          <t>CINTA CAFE PVC AISLANTE  X 20 MTS (T5 PLYMOUTH X 19 MM) 1907-1-N10-5235 - UND</t>
        </is>
      </c>
      <c r="C210" s="40">
        <f>SUMIFS(Detalle!$I$2:$I$326,Detalle!$T$2:$T$326,$B181,Detalle!$H$2:$H$326,$B210)</f>
        <v/>
      </c>
      <c r="D210" s="28">
        <f>SUMIFS(Detalle!$K$2:$K$326,Detalle!$T$2:$T$326,$B181,Detalle!$H$2:$H$326,$B210)</f>
        <v/>
      </c>
      <c r="E210" s="28">
        <f>SUMIFS(Detalle!$M$2:$M$326,Detalle!$T$2:$T$326,$B181,Detalle!$H$2:$H$326,$B210)</f>
        <v/>
      </c>
      <c r="F210" s="28">
        <f>D210+E210</f>
        <v/>
      </c>
    </row>
    <row r="211">
      <c r="B211" s="39" t="inlineStr">
        <is>
          <t>CINTA AMARILLA PVC AISLANTE  X 20 MTS (T5 PLYMOUTH X 19 MM) 1907-1-N10-5232 - UND</t>
        </is>
      </c>
      <c r="C211" s="40">
        <f>SUMIFS(Detalle!$I$2:$I$326,Detalle!$T$2:$T$326,$B181,Detalle!$H$2:$H$326,$B211)</f>
        <v/>
      </c>
      <c r="D211" s="28">
        <f>SUMIFS(Detalle!$K$2:$K$326,Detalle!$T$2:$T$326,$B181,Detalle!$H$2:$H$326,$B211)</f>
        <v/>
      </c>
      <c r="E211" s="28">
        <f>SUMIFS(Detalle!$M$2:$M$326,Detalle!$T$2:$T$326,$B181,Detalle!$H$2:$H$326,$B211)</f>
        <v/>
      </c>
      <c r="F211" s="28">
        <f>D211+E211</f>
        <v/>
      </c>
    </row>
    <row r="212">
      <c r="B212" s="39" t="inlineStr">
        <is>
          <t>CINTA ROJA PVC AISLANTE  X 20 MTS (T5 PLYMOUTH X 19 MM) 1907-1-N10-5230 - UND</t>
        </is>
      </c>
      <c r="C212" s="40">
        <f>SUMIFS(Detalle!$I$2:$I$326,Detalle!$T$2:$T$326,$B181,Detalle!$H$2:$H$326,$B212)</f>
        <v/>
      </c>
      <c r="D212" s="28">
        <f>SUMIFS(Detalle!$K$2:$K$326,Detalle!$T$2:$T$326,$B181,Detalle!$H$2:$H$326,$B212)</f>
        <v/>
      </c>
      <c r="E212" s="28">
        <f>SUMIFS(Detalle!$M$2:$M$326,Detalle!$T$2:$T$326,$B181,Detalle!$H$2:$H$326,$B212)</f>
        <v/>
      </c>
      <c r="F212" s="28">
        <f>D212+E212</f>
        <v/>
      </c>
    </row>
    <row r="213">
      <c r="B213" s="39" t="inlineStr">
        <is>
          <t>CINTA NEGRA PVC AISLANTE  X 20 MTS (T5 PLYMOUTH X 19 MM) 1907-1-N10-5228 - UND</t>
        </is>
      </c>
      <c r="C213" s="40">
        <f>SUMIFS(Detalle!$I$2:$I$326,Detalle!$T$2:$T$326,$B181,Detalle!$H$2:$H$326,$B213)</f>
        <v/>
      </c>
      <c r="D213" s="28">
        <f>SUMIFS(Detalle!$K$2:$K$326,Detalle!$T$2:$T$326,$B181,Detalle!$H$2:$H$326,$B213)</f>
        <v/>
      </c>
      <c r="E213" s="28">
        <f>SUMIFS(Detalle!$M$2:$M$326,Detalle!$T$2:$T$326,$B181,Detalle!$H$2:$H$326,$B213)</f>
        <v/>
      </c>
      <c r="F213" s="28">
        <f>D213+E213</f>
        <v/>
      </c>
    </row>
    <row r="214">
      <c r="B214" s="39" t="inlineStr">
        <is>
          <t>DISCO CORTE METAL 4.1/2  (S-17)  UND DEWALT - UND</t>
        </is>
      </c>
      <c r="C214" s="40">
        <f>SUMIFS(Detalle!$I$2:$I$326,Detalle!$T$2:$T$326,$B181,Detalle!$H$2:$H$326,$B214)</f>
        <v/>
      </c>
      <c r="D214" s="28">
        <f>SUMIFS(Detalle!$K$2:$K$326,Detalle!$T$2:$T$326,$B181,Detalle!$H$2:$H$326,$B214)</f>
        <v/>
      </c>
      <c r="E214" s="28">
        <f>SUMIFS(Detalle!$M$2:$M$326,Detalle!$T$2:$T$326,$B181,Detalle!$H$2:$H$326,$B214)</f>
        <v/>
      </c>
      <c r="F214" s="28">
        <f>D214+E214</f>
        <v/>
      </c>
    </row>
    <row r="215">
      <c r="B215" s="39" t="inlineStr">
        <is>
          <t>PUNTILLA LISA DE HIERRO 3” BLANCA X LIBRA - UND</t>
        </is>
      </c>
      <c r="C215" s="40">
        <f>SUMIFS(Detalle!$I$2:$I$326,Detalle!$T$2:$T$326,$B181,Detalle!$H$2:$H$326,$B215)</f>
        <v/>
      </c>
      <c r="D215" s="28">
        <f>SUMIFS(Detalle!$K$2:$K$326,Detalle!$T$2:$T$326,$B181,Detalle!$H$2:$H$326,$B215)</f>
        <v/>
      </c>
      <c r="E215" s="28">
        <f>SUMIFS(Detalle!$M$2:$M$326,Detalle!$T$2:$T$326,$B181,Detalle!$H$2:$H$326,$B215)</f>
        <v/>
      </c>
      <c r="F215" s="28">
        <f>D215+E215</f>
        <v/>
      </c>
    </row>
    <row r="216">
      <c r="B216" s="39" t="inlineStr">
        <is>
          <t>AMARRAS 10" PLASTICAS 25CMS 4.8 50LB NEGRA E.V. 1401-TS1-1- 48250B - UND</t>
        </is>
      </c>
      <c r="C216" s="40">
        <f>SUMIFS(Detalle!$I$2:$I$326,Detalle!$T$2:$T$326,$B181,Detalle!$H$2:$H$326,$B216)</f>
        <v/>
      </c>
      <c r="D216" s="28">
        <f>SUMIFS(Detalle!$K$2:$K$326,Detalle!$T$2:$T$326,$B181,Detalle!$H$2:$H$326,$B216)</f>
        <v/>
      </c>
      <c r="E216" s="28">
        <f>SUMIFS(Detalle!$M$2:$M$326,Detalle!$T$2:$T$326,$B181,Detalle!$H$2:$H$326,$B216)</f>
        <v/>
      </c>
      <c r="F216" s="28">
        <f>D216+E216</f>
        <v/>
      </c>
    </row>
    <row r="217">
      <c r="B217" s="39" t="inlineStr">
        <is>
          <t>AMARRAS 4" PLASTICAS 10CMS 2.5 18LB NEGRO E.V. - UND</t>
        </is>
      </c>
      <c r="C217" s="40">
        <f>SUMIFS(Detalle!$I$2:$I$326,Detalle!$T$2:$T$326,$B181,Detalle!$H$2:$H$326,$B217)</f>
        <v/>
      </c>
      <c r="D217" s="28">
        <f>SUMIFS(Detalle!$K$2:$K$326,Detalle!$T$2:$T$326,$B181,Detalle!$H$2:$H$326,$B217)</f>
        <v/>
      </c>
      <c r="E217" s="28">
        <f>SUMIFS(Detalle!$M$2:$M$326,Detalle!$T$2:$T$326,$B181,Detalle!$H$2:$H$326,$B217)</f>
        <v/>
      </c>
      <c r="F217" s="28">
        <f>D217+E217</f>
        <v/>
      </c>
    </row>
    <row r="218">
      <c r="B218" s="39" t="inlineStr">
        <is>
          <t>PRENSAESTOPA 1/2"10-19 MM PG13.5 COMPLETA 50 DEXSON - UND</t>
        </is>
      </c>
      <c r="C218" s="40">
        <f>SUMIFS(Detalle!$I$2:$I$326,Detalle!$T$2:$T$326,$B181,Detalle!$H$2:$H$326,$B218)</f>
        <v/>
      </c>
      <c r="D218" s="28">
        <f>SUMIFS(Detalle!$K$2:$K$326,Detalle!$T$2:$T$326,$B181,Detalle!$H$2:$H$326,$B218)</f>
        <v/>
      </c>
      <c r="E218" s="28">
        <f>SUMIFS(Detalle!$M$2:$M$326,Detalle!$T$2:$T$326,$B181,Detalle!$H$2:$H$326,$B218)</f>
        <v/>
      </c>
      <c r="F218" s="28">
        <f>D218+E218</f>
        <v/>
      </c>
    </row>
    <row r="219">
      <c r="B219" s="39" t="inlineStr">
        <is>
          <t>UNION 3/4" EMT ACERO UL - UND</t>
        </is>
      </c>
      <c r="C219" s="40">
        <f>SUMIFS(Detalle!$I$2:$I$326,Detalle!$T$2:$T$326,$B181,Detalle!$H$2:$H$326,$B219)</f>
        <v/>
      </c>
      <c r="D219" s="28">
        <f>SUMIFS(Detalle!$K$2:$K$326,Detalle!$T$2:$T$326,$B181,Detalle!$H$2:$H$326,$B219)</f>
        <v/>
      </c>
      <c r="E219" s="28">
        <f>SUMIFS(Detalle!$M$2:$M$326,Detalle!$T$2:$T$326,$B181,Detalle!$H$2:$H$326,$B219)</f>
        <v/>
      </c>
      <c r="F219" s="28">
        <f>D219+E219</f>
        <v/>
      </c>
    </row>
    <row r="220">
      <c r="B220" s="39" t="inlineStr">
        <is>
          <t>CAPACETE 1" IMC GALVANIZADO E.V SOLUTIONS - UND</t>
        </is>
      </c>
      <c r="C220" s="40">
        <f>SUMIFS(Detalle!$I$2:$I$326,Detalle!$T$2:$T$326,$B181,Detalle!$H$2:$H$326,$B220)</f>
        <v/>
      </c>
      <c r="D220" s="28">
        <f>SUMIFS(Detalle!$K$2:$K$326,Detalle!$T$2:$T$326,$B181,Detalle!$H$2:$H$326,$B220)</f>
        <v/>
      </c>
      <c r="E220" s="28">
        <f>SUMIFS(Detalle!$M$2:$M$326,Detalle!$T$2:$T$326,$B181,Detalle!$H$2:$H$326,$B220)</f>
        <v/>
      </c>
      <c r="F220" s="28">
        <f>D220+E220</f>
        <v/>
      </c>
    </row>
    <row r="221">
      <c r="B221" s="39" t="inlineStr">
        <is>
          <t>CINTA AISLANTE VIOLETA - UND</t>
        </is>
      </c>
      <c r="C221" s="40">
        <f>SUMIFS(Detalle!$I$2:$I$326,Detalle!$T$2:$T$326,$B181,Detalle!$H$2:$H$326,$B221)</f>
        <v/>
      </c>
      <c r="D221" s="28">
        <f>SUMIFS(Detalle!$K$2:$K$326,Detalle!$T$2:$T$326,$B181,Detalle!$H$2:$H$326,$B221)</f>
        <v/>
      </c>
      <c r="E221" s="28">
        <f>SUMIFS(Detalle!$M$2:$M$326,Detalle!$T$2:$T$326,$B181,Detalle!$H$2:$H$326,$B221)</f>
        <v/>
      </c>
      <c r="F221" s="28">
        <f>D221+E221</f>
        <v/>
      </c>
    </row>
    <row r="222">
      <c r="B222" s="39" t="inlineStr">
        <is>
          <t>AMARRAS 6" PLASTICAS 15CMS 3.6 40LB NEGRA E.V. - UND</t>
        </is>
      </c>
      <c r="C222" s="40">
        <f>SUMIFS(Detalle!$I$2:$I$326,Detalle!$T$2:$T$326,$B181,Detalle!$H$2:$H$326,$B222)</f>
        <v/>
      </c>
      <c r="D222" s="28">
        <f>SUMIFS(Detalle!$K$2:$K$326,Detalle!$T$2:$T$326,$B181,Detalle!$H$2:$H$326,$B222)</f>
        <v/>
      </c>
      <c r="E222" s="28">
        <f>SUMIFS(Detalle!$M$2:$M$326,Detalle!$T$2:$T$326,$B181,Detalle!$H$2:$H$326,$B222)</f>
        <v/>
      </c>
      <c r="F222" s="28">
        <f>D222+E222</f>
        <v/>
      </c>
    </row>
    <row r="223">
      <c r="B223" s="39" t="inlineStr">
        <is>
          <t>ARANDELA PLANA GALVANIZADA 3/4" - UND</t>
        </is>
      </c>
      <c r="C223" s="40">
        <f>SUMIFS(Detalle!$I$2:$I$326,Detalle!$T$2:$T$326,$B181,Detalle!$H$2:$H$326,$B223)</f>
        <v/>
      </c>
      <c r="D223" s="28">
        <f>SUMIFS(Detalle!$K$2:$K$326,Detalle!$T$2:$T$326,$B181,Detalle!$H$2:$H$326,$B223)</f>
        <v/>
      </c>
      <c r="E223" s="28">
        <f>SUMIFS(Detalle!$M$2:$M$326,Detalle!$T$2:$T$326,$B181,Detalle!$H$2:$H$326,$B223)</f>
        <v/>
      </c>
      <c r="F223" s="28">
        <f>D223+E223</f>
        <v/>
      </c>
    </row>
    <row r="224">
      <c r="B224" s="39" t="inlineStr">
        <is>
          <t>UNION 1/2" EMT ACERO E.V - UND</t>
        </is>
      </c>
      <c r="C224" s="40">
        <f>SUMIFS(Detalle!$I$2:$I$326,Detalle!$T$2:$T$326,$B181,Detalle!$H$2:$H$326,$B224)</f>
        <v/>
      </c>
      <c r="D224" s="28">
        <f>SUMIFS(Detalle!$K$2:$K$326,Detalle!$T$2:$T$326,$B181,Detalle!$H$2:$H$326,$B224)</f>
        <v/>
      </c>
      <c r="E224" s="28">
        <f>SUMIFS(Detalle!$M$2:$M$326,Detalle!$T$2:$T$326,$B181,Detalle!$H$2:$H$326,$B224)</f>
        <v/>
      </c>
      <c r="F224" s="28">
        <f>D224+E224</f>
        <v/>
      </c>
    </row>
    <row r="225">
      <c r="B225" s="39" t="inlineStr">
        <is>
          <t>CINTA AISLANTE AZUL - UND</t>
        </is>
      </c>
      <c r="C225" s="40">
        <f>SUMIFS(Detalle!$I$2:$I$326,Detalle!$T$2:$T$326,$B181,Detalle!$H$2:$H$326,$B225)</f>
        <v/>
      </c>
      <c r="D225" s="28">
        <f>SUMIFS(Detalle!$K$2:$K$326,Detalle!$T$2:$T$326,$B181,Detalle!$H$2:$H$326,$B225)</f>
        <v/>
      </c>
      <c r="E225" s="28">
        <f>SUMIFS(Detalle!$M$2:$M$326,Detalle!$T$2:$T$326,$B181,Detalle!$H$2:$H$326,$B225)</f>
        <v/>
      </c>
      <c r="F225" s="28">
        <f>D225+E225</f>
        <v/>
      </c>
    </row>
    <row r="226">
      <c r="B226" s="39" t="inlineStr">
        <is>
          <t>UNION 3/4" IMC GALVANIZADA - UND</t>
        </is>
      </c>
      <c r="C226" s="40">
        <f>SUMIFS(Detalle!$I$2:$I$326,Detalle!$T$2:$T$326,$B181,Detalle!$H$2:$H$326,$B226)</f>
        <v/>
      </c>
      <c r="D226" s="28">
        <f>SUMIFS(Detalle!$K$2:$K$326,Detalle!$T$2:$T$326,$B181,Detalle!$H$2:$H$326,$B226)</f>
        <v/>
      </c>
      <c r="E226" s="28">
        <f>SUMIFS(Detalle!$M$2:$M$326,Detalle!$T$2:$T$326,$B181,Detalle!$H$2:$H$326,$B226)</f>
        <v/>
      </c>
      <c r="F226" s="28">
        <f>D226+E226</f>
        <v/>
      </c>
    </row>
    <row r="227">
      <c r="B227" s="39" t="inlineStr">
        <is>
          <t>UNION 1/2" IMC GALVANIZADA E.V SOLUTIONS 1301-RL-860 - UND</t>
        </is>
      </c>
      <c r="C227" s="40">
        <f>SUMIFS(Detalle!$I$2:$I$326,Detalle!$T$2:$T$326,$B181,Detalle!$H$2:$H$326,$B227)</f>
        <v/>
      </c>
      <c r="D227" s="28">
        <f>SUMIFS(Detalle!$K$2:$K$326,Detalle!$T$2:$T$326,$B181,Detalle!$H$2:$H$326,$B227)</f>
        <v/>
      </c>
      <c r="E227" s="28">
        <f>SUMIFS(Detalle!$M$2:$M$326,Detalle!$T$2:$T$326,$B181,Detalle!$H$2:$H$326,$B227)</f>
        <v/>
      </c>
      <c r="F227" s="28">
        <f>D227+E227</f>
        <v/>
      </c>
    </row>
    <row r="228">
      <c r="B228" s="20" t="inlineStr">
        <is>
          <t>Monitoreo y comunicaciones</t>
        </is>
      </c>
      <c r="C228" s="38">
        <f>SUMIFS(Detalle!$I$2:$I$326,Detalle!$T$2:$T$326,$B228)</f>
        <v/>
      </c>
      <c r="D228" s="21">
        <f>SUMIFS(Detalle!$K$2:$K$326,Detalle!$T$2:$T$326,$B228)</f>
        <v/>
      </c>
      <c r="E228" s="21">
        <f>SUMIFS(Detalle!$M$2:$M$326,Detalle!$T$2:$T$326,$B228)</f>
        <v/>
      </c>
      <c r="F228" s="21">
        <f>D228+E228</f>
        <v/>
      </c>
    </row>
    <row r="229">
      <c r="B229" s="39" t="inlineStr">
        <is>
          <t>ANALIZADOR DE ENERGÍA COMPACTO JANITZA UMG 103-CBM - UND</t>
        </is>
      </c>
      <c r="C229" s="40">
        <f>SUMIFS(Detalle!$I$2:$I$326,Detalle!$T$2:$T$326,$B228,Detalle!$H$2:$H$326,$B229)</f>
        <v/>
      </c>
      <c r="D229" s="28">
        <f>SUMIFS(Detalle!$K$2:$K$326,Detalle!$T$2:$T$326,$B228,Detalle!$H$2:$H$326,$B229)</f>
        <v/>
      </c>
      <c r="E229" s="28">
        <f>SUMIFS(Detalle!$M$2:$M$326,Detalle!$T$2:$T$326,$B228,Detalle!$H$2:$H$326,$B229)</f>
        <v/>
      </c>
      <c r="F229" s="28">
        <f>D229+E229</f>
        <v/>
      </c>
    </row>
    <row r="230">
      <c r="B230" s="39" t="inlineStr">
        <is>
          <t>SMARTLOGGER3000A01AU 4G - UND</t>
        </is>
      </c>
      <c r="C230" s="40">
        <f>SUMIFS(Detalle!$I$2:$I$326,Detalle!$T$2:$T$326,$B228,Detalle!$H$2:$H$326,$B230)</f>
        <v/>
      </c>
      <c r="D230" s="28">
        <f>SUMIFS(Detalle!$K$2:$K$326,Detalle!$T$2:$T$326,$B228,Detalle!$H$2:$H$326,$B230)</f>
        <v/>
      </c>
      <c r="E230" s="28">
        <f>SUMIFS(Detalle!$M$2:$M$326,Detalle!$T$2:$T$326,$B228,Detalle!$H$2:$H$326,$B230)</f>
        <v/>
      </c>
      <c r="F230" s="28">
        <f>D230+E230</f>
        <v/>
      </c>
    </row>
    <row r="231">
      <c r="B231" s="39" t="inlineStr">
        <is>
          <t>MODEM ROUTER - UND</t>
        </is>
      </c>
      <c r="C231" s="40">
        <f>SUMIFS(Detalle!$I$2:$I$326,Detalle!$T$2:$T$326,$B228,Detalle!$H$2:$H$326,$B231)</f>
        <v/>
      </c>
      <c r="D231" s="28">
        <f>SUMIFS(Detalle!$K$2:$K$326,Detalle!$T$2:$T$326,$B228,Detalle!$H$2:$H$326,$B231)</f>
        <v/>
      </c>
      <c r="E231" s="28">
        <f>SUMIFS(Detalle!$M$2:$M$326,Detalle!$T$2:$T$326,$B228,Detalle!$H$2:$H$326,$B231)</f>
        <v/>
      </c>
      <c r="F231" s="28">
        <f>D231+E231</f>
        <v/>
      </c>
    </row>
    <row r="232">
      <c r="B232" s="20" t="inlineStr">
        <is>
          <t>Viáticos - Transporte</t>
        </is>
      </c>
      <c r="C232" s="38">
        <f>SUMIFS(Detalle!$I$2:$I$326,Detalle!$T$2:$T$326,$B232)</f>
        <v/>
      </c>
      <c r="D232" s="21">
        <f>SUMIFS(Detalle!$K$2:$K$326,Detalle!$T$2:$T$326,$B232)</f>
        <v/>
      </c>
      <c r="E232" s="21">
        <f>SUMIFS(Detalle!$M$2:$M$326,Detalle!$T$2:$T$326,$B232)</f>
        <v/>
      </c>
      <c r="F232" s="21">
        <f>D232+E232</f>
        <v/>
      </c>
    </row>
    <row r="233">
      <c r="B233" s="39" t="inlineStr">
        <is>
          <t>SERVICIO DE TRANSPORTE - UND</t>
        </is>
      </c>
      <c r="C233" s="40">
        <f>SUMIFS(Detalle!$I$2:$I$326,Detalle!$T$2:$T$326,$B232,Detalle!$H$2:$H$326,$B233)</f>
        <v/>
      </c>
      <c r="D233" s="28">
        <f>SUMIFS(Detalle!$K$2:$K$326,Detalle!$T$2:$T$326,$B232,Detalle!$H$2:$H$326,$B233)</f>
        <v/>
      </c>
      <c r="E233" s="28">
        <f>SUMIFS(Detalle!$M$2:$M$326,Detalle!$T$2:$T$326,$B232,Detalle!$H$2:$H$326,$B233)</f>
        <v/>
      </c>
      <c r="F233" s="28">
        <f>D233+E233</f>
        <v/>
      </c>
    </row>
    <row r="234">
      <c r="B234" s="20" t="inlineStr">
        <is>
          <t>Medidores</t>
        </is>
      </c>
      <c r="C234" s="38">
        <f>SUMIFS(Detalle!$I$2:$I$326,Detalle!$T$2:$T$326,$B234)</f>
        <v/>
      </c>
      <c r="D234" s="21">
        <f>SUMIFS(Detalle!$K$2:$K$326,Detalle!$T$2:$T$326,$B234)</f>
        <v/>
      </c>
      <c r="E234" s="21">
        <f>SUMIFS(Detalle!$M$2:$M$326,Detalle!$T$2:$T$326,$B234)</f>
        <v/>
      </c>
      <c r="F234" s="21">
        <f>D234+E234</f>
        <v/>
      </c>
    </row>
    <row r="235">
      <c r="B235" s="39" t="inlineStr">
        <is>
          <t>MEDIDOR HEXING HXF300, ENERGÍA ACTIVA (CL0.5S) Y REACTIVA (CL2), 1(10)A, 57.7/100V - 277/480V, 60HZ, BIDIRECCIONAL, 1PUERTORS-232, 1PUERTORS-485 - UND</t>
        </is>
      </c>
      <c r="C235" s="40">
        <f>SUMIFS(Detalle!$I$2:$I$326,Detalle!$T$2:$T$326,$B234,Detalle!$H$2:$H$326,$B235)</f>
        <v/>
      </c>
      <c r="D235" s="28">
        <f>SUMIFS(Detalle!$K$2:$K$326,Detalle!$T$2:$T$326,$B234,Detalle!$H$2:$H$326,$B235)</f>
        <v/>
      </c>
      <c r="E235" s="28">
        <f>SUMIFS(Detalle!$M$2:$M$326,Detalle!$T$2:$T$326,$B234,Detalle!$H$2:$H$326,$B235)</f>
        <v/>
      </c>
      <c r="F235" s="28">
        <f>D235+E235</f>
        <v/>
      </c>
    </row>
    <row r="236">
      <c r="B236" s="20" t="inlineStr">
        <is>
          <t>Puesta a tierra</t>
        </is>
      </c>
      <c r="C236" s="38">
        <f>SUMIFS(Detalle!$I$2:$I$326,Detalle!$T$2:$T$326,$B236)</f>
        <v/>
      </c>
      <c r="D236" s="21">
        <f>SUMIFS(Detalle!$K$2:$K$326,Detalle!$T$2:$T$326,$B236)</f>
        <v/>
      </c>
      <c r="E236" s="21">
        <f>SUMIFS(Detalle!$M$2:$M$326,Detalle!$T$2:$T$326,$B236)</f>
        <v/>
      </c>
      <c r="F236" s="21">
        <f>D236+E236</f>
        <v/>
      </c>
    </row>
    <row r="237">
      <c r="B237" s="39" t="inlineStr">
        <is>
          <t>VARILLA SOLIDA DE COBRE 9/16 X 2.40MTS 14MM 2004-920235 - UND</t>
        </is>
      </c>
      <c r="C237" s="40">
        <f>SUMIFS(Detalle!$I$2:$I$326,Detalle!$T$2:$T$326,$B236,Detalle!$H$2:$H$326,$B237)</f>
        <v/>
      </c>
      <c r="D237" s="28">
        <f>SUMIFS(Detalle!$K$2:$K$326,Detalle!$T$2:$T$326,$B236,Detalle!$H$2:$H$326,$B237)</f>
        <v/>
      </c>
      <c r="E237" s="28">
        <f>SUMIFS(Detalle!$M$2:$M$326,Detalle!$T$2:$T$326,$B236,Detalle!$H$2:$H$326,$B237)</f>
        <v/>
      </c>
      <c r="F237" s="28">
        <f>D237+E237</f>
        <v/>
      </c>
    </row>
    <row r="238">
      <c r="B238" s="20" t="inlineStr">
        <is>
          <t>Impermeabilización y acabados</t>
        </is>
      </c>
      <c r="C238" s="38">
        <f>SUMIFS(Detalle!$I$2:$I$326,Detalle!$T$2:$T$326,$B238)</f>
        <v/>
      </c>
      <c r="D238" s="21">
        <f>SUMIFS(Detalle!$K$2:$K$326,Detalle!$T$2:$T$326,$B238)</f>
        <v/>
      </c>
      <c r="E238" s="21">
        <f>SUMIFS(Detalle!$M$2:$M$326,Detalle!$T$2:$T$326,$B238)</f>
        <v/>
      </c>
      <c r="F238" s="21">
        <f>D238+E238</f>
        <v/>
      </c>
    </row>
    <row r="239">
      <c r="B239" s="39" t="inlineStr">
        <is>
          <t>ESTUCO OBRAS X 25KG - UND</t>
        </is>
      </c>
      <c r="C239" s="40">
        <f>SUMIFS(Detalle!$I$2:$I$326,Detalle!$T$2:$T$326,$B238,Detalle!$H$2:$H$326,$B239)</f>
        <v/>
      </c>
      <c r="D239" s="28">
        <f>SUMIFS(Detalle!$K$2:$K$326,Detalle!$T$2:$T$326,$B238,Detalle!$H$2:$H$326,$B239)</f>
        <v/>
      </c>
      <c r="E239" s="28">
        <f>SUMIFS(Detalle!$M$2:$M$326,Detalle!$T$2:$T$326,$B238,Detalle!$H$2:$H$326,$B239)</f>
        <v/>
      </c>
      <c r="F239" s="28">
        <f>D239+E239</f>
        <v/>
      </c>
    </row>
    <row r="240">
      <c r="B240" s="39" t="inlineStr">
        <is>
          <t>SIKABOOM - UND</t>
        </is>
      </c>
      <c r="C240" s="40">
        <f>SUMIFS(Detalle!$I$2:$I$326,Detalle!$T$2:$T$326,$B238,Detalle!$H$2:$H$326,$B240)</f>
        <v/>
      </c>
      <c r="D240" s="28">
        <f>SUMIFS(Detalle!$K$2:$K$326,Detalle!$T$2:$T$326,$B238,Detalle!$H$2:$H$326,$B240)</f>
        <v/>
      </c>
      <c r="E240" s="28">
        <f>SUMIFS(Detalle!$M$2:$M$326,Detalle!$T$2:$T$326,$B238,Detalle!$H$2:$H$326,$B240)</f>
        <v/>
      </c>
      <c r="F240" s="28">
        <f>D240+E240</f>
        <v/>
      </c>
    </row>
    <row r="241">
      <c r="B241" s="39" t="inlineStr">
        <is>
          <t>VINILO BLANCO TIPO 1 PINTULAND (SUPERLAVABLE PARA INTERIORES Y EXTERIORES) X CUÑETE - UND</t>
        </is>
      </c>
      <c r="C241" s="40">
        <f>SUMIFS(Detalle!$I$2:$I$326,Detalle!$T$2:$T$326,$B238,Detalle!$H$2:$H$326,$B241)</f>
        <v/>
      </c>
      <c r="D241" s="28">
        <f>SUMIFS(Detalle!$K$2:$K$326,Detalle!$T$2:$T$326,$B238,Detalle!$H$2:$H$326,$B241)</f>
        <v/>
      </c>
      <c r="E241" s="28">
        <f>SUMIFS(Detalle!$M$2:$M$326,Detalle!$T$2:$T$326,$B238,Detalle!$H$2:$H$326,$B241)</f>
        <v/>
      </c>
      <c r="F241" s="28">
        <f>D241+E241</f>
        <v/>
      </c>
    </row>
    <row r="242">
      <c r="B242" s="39" t="inlineStr">
        <is>
          <t>ESTUCO ACRILICO EXTERIOR  - UND</t>
        </is>
      </c>
      <c r="C242" s="40">
        <f>SUMIFS(Detalle!$I$2:$I$326,Detalle!$T$2:$T$326,$B238,Detalle!$H$2:$H$326,$B242)</f>
        <v/>
      </c>
      <c r="D242" s="28">
        <f>SUMIFS(Detalle!$K$2:$K$326,Detalle!$T$2:$T$326,$B238,Detalle!$H$2:$H$326,$B242)</f>
        <v/>
      </c>
      <c r="E242" s="28">
        <f>SUMIFS(Detalle!$M$2:$M$326,Detalle!$T$2:$T$326,$B238,Detalle!$H$2:$H$326,$B242)</f>
        <v/>
      </c>
      <c r="F242" s="28">
        <f>D242+E242</f>
        <v/>
      </c>
    </row>
    <row r="243">
      <c r="B243" s="39" t="inlineStr">
        <is>
          <t>PINTURA TRAFICO GRIS (S-59)  GL PINTULAND - UND</t>
        </is>
      </c>
      <c r="C243" s="40">
        <f>SUMIFS(Detalle!$I$2:$I$326,Detalle!$T$2:$T$326,$B238,Detalle!$H$2:$H$326,$B243)</f>
        <v/>
      </c>
      <c r="D243" s="28">
        <f>SUMIFS(Detalle!$K$2:$K$326,Detalle!$T$2:$T$326,$B238,Detalle!$H$2:$H$326,$B243)</f>
        <v/>
      </c>
      <c r="E243" s="28">
        <f>SUMIFS(Detalle!$M$2:$M$326,Detalle!$T$2:$T$326,$B238,Detalle!$H$2:$H$326,$B243)</f>
        <v/>
      </c>
      <c r="F243" s="28">
        <f>D243+E243</f>
        <v/>
      </c>
    </row>
    <row r="244">
      <c r="B244" s="20" t="inlineStr">
        <is>
          <t>Cajas de paso y accesorios</t>
        </is>
      </c>
      <c r="C244" s="38">
        <f>SUMIFS(Detalle!$I$2:$I$326,Detalle!$T$2:$T$326,$B244)</f>
        <v/>
      </c>
      <c r="D244" s="21">
        <f>SUMIFS(Detalle!$K$2:$K$326,Detalle!$T$2:$T$326,$B244)</f>
        <v/>
      </c>
      <c r="E244" s="21">
        <f>SUMIFS(Detalle!$M$2:$M$326,Detalle!$T$2:$T$326,$B244)</f>
        <v/>
      </c>
      <c r="F244" s="21">
        <f>D244+E244</f>
        <v/>
      </c>
    </row>
    <row r="245">
      <c r="B245" s="39" t="inlineStr">
        <is>
          <t>SUMINISTRO DE TAPAS METÁLICAS DE 1.40X1.40 MTS EN LÁMINA ALFAJOR DE 2.5MM - UND</t>
        </is>
      </c>
      <c r="C245" s="40">
        <f>SUMIFS(Detalle!$I$2:$I$326,Detalle!$T$2:$T$326,$B244,Detalle!$H$2:$H$326,$B245)</f>
        <v/>
      </c>
      <c r="D245" s="28">
        <f>SUMIFS(Detalle!$K$2:$K$326,Detalle!$T$2:$T$326,$B244,Detalle!$H$2:$H$326,$B245)</f>
        <v/>
      </c>
      <c r="E245" s="28">
        <f>SUMIFS(Detalle!$M$2:$M$326,Detalle!$T$2:$T$326,$B244,Detalle!$H$2:$H$326,$B245)</f>
        <v/>
      </c>
      <c r="F245" s="28">
        <f>D245+E245</f>
        <v/>
      </c>
    </row>
    <row r="246">
      <c r="B246" s="39" t="inlineStr">
        <is>
          <t>CAJA RAWELT 4X4 3/4"X4 SALIDAS - UND</t>
        </is>
      </c>
      <c r="C246" s="40">
        <f>SUMIFS(Detalle!$I$2:$I$326,Detalle!$T$2:$T$326,$B244,Detalle!$H$2:$H$326,$B246)</f>
        <v/>
      </c>
      <c r="D246" s="28">
        <f>SUMIFS(Detalle!$K$2:$K$326,Detalle!$T$2:$T$326,$B244,Detalle!$H$2:$H$326,$B246)</f>
        <v/>
      </c>
      <c r="E246" s="28">
        <f>SUMIFS(Detalle!$M$2:$M$326,Detalle!$T$2:$T$326,$B244,Detalle!$H$2:$H$326,$B246)</f>
        <v/>
      </c>
      <c r="F246" s="28">
        <f>D246+E246</f>
        <v/>
      </c>
    </row>
    <row r="247">
      <c r="B247" s="39" t="inlineStr">
        <is>
          <t>TUERCA MORDAZA 3/8" CON RESORTE Y TORNILLO HEXAGONAL - UND</t>
        </is>
      </c>
      <c r="C247" s="40">
        <f>SUMIFS(Detalle!$I$2:$I$326,Detalle!$T$2:$T$326,$B244,Detalle!$H$2:$H$326,$B247)</f>
        <v/>
      </c>
      <c r="D247" s="28">
        <f>SUMIFS(Detalle!$K$2:$K$326,Detalle!$T$2:$T$326,$B244,Detalle!$H$2:$H$326,$B247)</f>
        <v/>
      </c>
      <c r="E247" s="28">
        <f>SUMIFS(Detalle!$M$2:$M$326,Detalle!$T$2:$T$326,$B244,Detalle!$H$2:$H$326,$B247)</f>
        <v/>
      </c>
      <c r="F247" s="28">
        <f>D247+E247</f>
        <v/>
      </c>
    </row>
    <row r="248">
      <c r="B248" s="39" t="inlineStr">
        <is>
          <t>TAPA CIEGA 4X4 INTEMPERIE RAWELT - UND</t>
        </is>
      </c>
      <c r="C248" s="40">
        <f>SUMIFS(Detalle!$I$2:$I$326,Detalle!$T$2:$T$326,$B244,Detalle!$H$2:$H$326,$B248)</f>
        <v/>
      </c>
      <c r="D248" s="28">
        <f>SUMIFS(Detalle!$K$2:$K$326,Detalle!$T$2:$T$326,$B244,Detalle!$H$2:$H$326,$B248)</f>
        <v/>
      </c>
      <c r="E248" s="28">
        <f>SUMIFS(Detalle!$M$2:$M$326,Detalle!$T$2:$T$326,$B244,Detalle!$H$2:$H$326,$B248)</f>
        <v/>
      </c>
      <c r="F248" s="28">
        <f>D248+E248</f>
        <v/>
      </c>
    </row>
    <row r="249">
      <c r="B249" s="39" t="inlineStr">
        <is>
          <t>CAJA RAWELT 4X4 1/2"X4 SALIDAS - UND</t>
        </is>
      </c>
      <c r="C249" s="40">
        <f>SUMIFS(Detalle!$I$2:$I$326,Detalle!$T$2:$T$326,$B244,Detalle!$H$2:$H$326,$B249)</f>
        <v/>
      </c>
      <c r="D249" s="28">
        <f>SUMIFS(Detalle!$K$2:$K$326,Detalle!$T$2:$T$326,$B244,Detalle!$H$2:$H$326,$B249)</f>
        <v/>
      </c>
      <c r="E249" s="28">
        <f>SUMIFS(Detalle!$M$2:$M$326,Detalle!$T$2:$T$326,$B244,Detalle!$H$2:$H$326,$B249)</f>
        <v/>
      </c>
      <c r="F249" s="28">
        <f>D249+E249</f>
        <v/>
      </c>
    </row>
    <row r="250">
      <c r="B250" s="39" t="inlineStr">
        <is>
          <t>CAJA RAWELT 2X4 3/4"X4 SALIDAS - UND</t>
        </is>
      </c>
      <c r="C250" s="40">
        <f>SUMIFS(Detalle!$I$2:$I$326,Detalle!$T$2:$T$326,$B244,Detalle!$H$2:$H$326,$B250)</f>
        <v/>
      </c>
      <c r="D250" s="28">
        <f>SUMIFS(Detalle!$K$2:$K$326,Detalle!$T$2:$T$326,$B244,Detalle!$H$2:$H$326,$B250)</f>
        <v/>
      </c>
      <c r="E250" s="28">
        <f>SUMIFS(Detalle!$M$2:$M$326,Detalle!$T$2:$T$326,$B244,Detalle!$H$2:$H$326,$B250)</f>
        <v/>
      </c>
      <c r="F250" s="28">
        <f>D250+E250</f>
        <v/>
      </c>
    </row>
    <row r="251">
      <c r="B251" s="39" t="inlineStr">
        <is>
          <t>CAJA EMPALME  8X8X6 PULGADA C/CHAPA -16 TERCOL - UND</t>
        </is>
      </c>
      <c r="C251" s="40">
        <f>SUMIFS(Detalle!$I$2:$I$326,Detalle!$T$2:$T$326,$B244,Detalle!$H$2:$H$326,$B251)</f>
        <v/>
      </c>
      <c r="D251" s="28">
        <f>SUMIFS(Detalle!$K$2:$K$326,Detalle!$T$2:$T$326,$B244,Detalle!$H$2:$H$326,$B251)</f>
        <v/>
      </c>
      <c r="E251" s="28">
        <f>SUMIFS(Detalle!$M$2:$M$326,Detalle!$T$2:$T$326,$B244,Detalle!$H$2:$H$326,$B251)</f>
        <v/>
      </c>
      <c r="F251" s="28">
        <f>D251+E251</f>
        <v/>
      </c>
    </row>
    <row r="252">
      <c r="B252" s="39" t="inlineStr">
        <is>
          <t>TUERCA HEXAGONAL GALVANIZADA 3/4" - UND</t>
        </is>
      </c>
      <c r="C252" s="40">
        <f>SUMIFS(Detalle!$I$2:$I$326,Detalle!$T$2:$T$326,$B244,Detalle!$H$2:$H$326,$B252)</f>
        <v/>
      </c>
      <c r="D252" s="28">
        <f>SUMIFS(Detalle!$K$2:$K$326,Detalle!$T$2:$T$326,$B244,Detalle!$H$2:$H$326,$B252)</f>
        <v/>
      </c>
      <c r="E252" s="28">
        <f>SUMIFS(Detalle!$M$2:$M$326,Detalle!$T$2:$T$326,$B244,Detalle!$H$2:$H$326,$B252)</f>
        <v/>
      </c>
      <c r="F252" s="28">
        <f>D252+E252</f>
        <v/>
      </c>
    </row>
    <row r="253">
      <c r="B253" s="39" t="inlineStr">
        <is>
          <t>CHAZO BALA 3/8" - UND</t>
        </is>
      </c>
      <c r="C253" s="40">
        <f>SUMIFS(Detalle!$I$2:$I$326,Detalle!$T$2:$T$326,$B244,Detalle!$H$2:$H$326,$B253)</f>
        <v/>
      </c>
      <c r="D253" s="28">
        <f>SUMIFS(Detalle!$K$2:$K$326,Detalle!$T$2:$T$326,$B244,Detalle!$H$2:$H$326,$B253)</f>
        <v/>
      </c>
      <c r="E253" s="28">
        <f>SUMIFS(Detalle!$M$2:$M$326,Detalle!$T$2:$T$326,$B244,Detalle!$H$2:$H$326,$B253)</f>
        <v/>
      </c>
      <c r="F253" s="28">
        <f>D253+E253</f>
        <v/>
      </c>
    </row>
    <row r="254">
      <c r="B254" s="39" t="inlineStr">
        <is>
          <t>TOMA DOBLE 15 AMP BLANCO P/TIERRA 125V SIN TAPA  HUBBELL - UND</t>
        </is>
      </c>
      <c r="C254" s="40">
        <f>SUMIFS(Detalle!$I$2:$I$326,Detalle!$T$2:$T$326,$B244,Detalle!$H$2:$H$326,$B254)</f>
        <v/>
      </c>
      <c r="D254" s="28">
        <f>SUMIFS(Detalle!$K$2:$K$326,Detalle!$T$2:$T$326,$B244,Detalle!$H$2:$H$326,$B254)</f>
        <v/>
      </c>
      <c r="E254" s="28">
        <f>SUMIFS(Detalle!$M$2:$M$326,Detalle!$T$2:$T$326,$B244,Detalle!$H$2:$H$326,$B254)</f>
        <v/>
      </c>
      <c r="F254" s="28">
        <f>D254+E254</f>
        <v/>
      </c>
    </row>
    <row r="255">
      <c r="B255" s="39" t="inlineStr">
        <is>
          <t>TAPA CIEGA 4X4 PVC BLANCA - S/M - UND</t>
        </is>
      </c>
      <c r="C255" s="40">
        <f>SUMIFS(Detalle!$I$2:$I$326,Detalle!$T$2:$T$326,$B244,Detalle!$H$2:$H$326,$B255)</f>
        <v/>
      </c>
      <c r="D255" s="28">
        <f>SUMIFS(Detalle!$K$2:$K$326,Detalle!$T$2:$T$326,$B244,Detalle!$H$2:$H$326,$B255)</f>
        <v/>
      </c>
      <c r="E255" s="28">
        <f>SUMIFS(Detalle!$M$2:$M$326,Detalle!$T$2:$T$326,$B244,Detalle!$H$2:$H$326,$B255)</f>
        <v/>
      </c>
      <c r="F255" s="28">
        <f>D255+E255</f>
        <v/>
      </c>
    </row>
    <row r="256">
      <c r="B256" s="39" t="inlineStr">
        <is>
          <t>GRAPA DOBLE ALA 1/2" - UND</t>
        </is>
      </c>
      <c r="C256" s="40">
        <f>SUMIFS(Detalle!$I$2:$I$326,Detalle!$T$2:$T$326,$B244,Detalle!$H$2:$H$326,$B256)</f>
        <v/>
      </c>
      <c r="D256" s="28">
        <f>SUMIFS(Detalle!$K$2:$K$326,Detalle!$T$2:$T$326,$B244,Detalle!$H$2:$H$326,$B256)</f>
        <v/>
      </c>
      <c r="E256" s="28">
        <f>SUMIFS(Detalle!$M$2:$M$326,Detalle!$T$2:$T$326,$B244,Detalle!$H$2:$H$326,$B256)</f>
        <v/>
      </c>
      <c r="F256" s="28">
        <f>D256+E256</f>
        <v/>
      </c>
    </row>
    <row r="257">
      <c r="B257" s="39" t="inlineStr">
        <is>
          <t>GRAPA DOBLE ALA 3/4" - UND</t>
        </is>
      </c>
      <c r="C257" s="40">
        <f>SUMIFS(Detalle!$I$2:$I$326,Detalle!$T$2:$T$326,$B244,Detalle!$H$2:$H$326,$B257)</f>
        <v/>
      </c>
      <c r="D257" s="28">
        <f>SUMIFS(Detalle!$K$2:$K$326,Detalle!$T$2:$T$326,$B244,Detalle!$H$2:$H$326,$B257)</f>
        <v/>
      </c>
      <c r="E257" s="28">
        <f>SUMIFS(Detalle!$M$2:$M$326,Detalle!$T$2:$T$326,$B244,Detalle!$H$2:$H$326,$B257)</f>
        <v/>
      </c>
      <c r="F257" s="28">
        <f>D257+E257</f>
        <v/>
      </c>
    </row>
    <row r="258">
      <c r="B258" s="39" t="inlineStr">
        <is>
          <t>CAJA 4X4 PLASTICA DOBLE  CP4X4 CERT -270 TERCOL - UND</t>
        </is>
      </c>
      <c r="C258" s="40">
        <f>SUMIFS(Detalle!$I$2:$I$326,Detalle!$T$2:$T$326,$B244,Detalle!$H$2:$H$326,$B258)</f>
        <v/>
      </c>
      <c r="D258" s="28">
        <f>SUMIFS(Detalle!$K$2:$K$326,Detalle!$T$2:$T$326,$B244,Detalle!$H$2:$H$326,$B258)</f>
        <v/>
      </c>
      <c r="E258" s="28">
        <f>SUMIFS(Detalle!$M$2:$M$326,Detalle!$T$2:$T$326,$B244,Detalle!$H$2:$H$326,$B258)</f>
        <v/>
      </c>
      <c r="F258" s="28">
        <f>D258+E258</f>
        <v/>
      </c>
    </row>
    <row r="259">
      <c r="B259" s="39" t="inlineStr">
        <is>
          <t>TAPA PLASTICA PARA TOMA DOBLE BLANCA - UND</t>
        </is>
      </c>
      <c r="C259" s="40">
        <f>SUMIFS(Detalle!$I$2:$I$326,Detalle!$T$2:$T$326,$B244,Detalle!$H$2:$H$326,$B259)</f>
        <v/>
      </c>
      <c r="D259" s="28">
        <f>SUMIFS(Detalle!$K$2:$K$326,Detalle!$T$2:$T$326,$B244,Detalle!$H$2:$H$326,$B259)</f>
        <v/>
      </c>
      <c r="E259" s="28">
        <f>SUMIFS(Detalle!$M$2:$M$326,Detalle!$T$2:$T$326,$B244,Detalle!$H$2:$H$326,$B259)</f>
        <v/>
      </c>
      <c r="F259" s="28">
        <f>D259+E259</f>
        <v/>
      </c>
    </row>
    <row r="260">
      <c r="B260" s="20" t="inlineStr">
        <is>
          <t>Servicios de instalación y montaje</t>
        </is>
      </c>
      <c r="C260" s="38">
        <f>SUMIFS(Detalle!$I$2:$I$326,Detalle!$T$2:$T$326,$B260)</f>
        <v/>
      </c>
      <c r="D260" s="21">
        <f>SUMIFS(Detalle!$K$2:$K$326,Detalle!$T$2:$T$326,$B260)</f>
        <v/>
      </c>
      <c r="E260" s="21">
        <f>SUMIFS(Detalle!$M$2:$M$326,Detalle!$T$2:$T$326,$B260)</f>
        <v/>
      </c>
      <c r="F260" s="21">
        <f>D260+E260</f>
        <v/>
      </c>
    </row>
    <row r="261">
      <c r="B261" s="39" t="inlineStr">
        <is>
          <t>INSTALACION PREMOLDEADOS - UND</t>
        </is>
      </c>
      <c r="C261" s="40">
        <f>SUMIFS(Detalle!$I$2:$I$326,Detalle!$T$2:$T$326,$B260,Detalle!$H$2:$H$326,$B261)</f>
        <v/>
      </c>
      <c r="D261" s="28">
        <f>SUMIFS(Detalle!$K$2:$K$326,Detalle!$T$2:$T$326,$B260,Detalle!$H$2:$H$326,$B261)</f>
        <v/>
      </c>
      <c r="E261" s="28">
        <f>SUMIFS(Detalle!$M$2:$M$326,Detalle!$T$2:$T$326,$B260,Detalle!$H$2:$H$326,$B261)</f>
        <v/>
      </c>
      <c r="F261" s="28">
        <f>D261+E261</f>
        <v/>
      </c>
    </row>
    <row r="262">
      <c r="B262" s="39" t="inlineStr">
        <is>
          <t>OMEGA PARA INSTALACION DE SUPERBOARD ( 0.38 MM X 3/4" X 2-5/16" X 2.44 METROS) - UND</t>
        </is>
      </c>
      <c r="C262" s="40">
        <f>SUMIFS(Detalle!$I$2:$I$326,Detalle!$T$2:$T$326,$B260,Detalle!$H$2:$H$326,$B262)</f>
        <v/>
      </c>
      <c r="D262" s="28">
        <f>SUMIFS(Detalle!$K$2:$K$326,Detalle!$T$2:$T$326,$B260,Detalle!$H$2:$H$326,$B262)</f>
        <v/>
      </c>
      <c r="E262" s="28">
        <f>SUMIFS(Detalle!$M$2:$M$326,Detalle!$T$2:$T$326,$B260,Detalle!$H$2:$H$326,$B262)</f>
        <v/>
      </c>
      <c r="F262" s="28">
        <f>D262+E262</f>
        <v/>
      </c>
    </row>
    <row r="263">
      <c r="B263" s="20" t="inlineStr">
        <is>
          <t>SST y exámenes médicos</t>
        </is>
      </c>
      <c r="C263" s="38">
        <f>SUMIFS(Detalle!$I$2:$I$326,Detalle!$T$2:$T$326,$B263)</f>
        <v/>
      </c>
      <c r="D263" s="21">
        <f>SUMIFS(Detalle!$K$2:$K$326,Detalle!$T$2:$T$326,$B263)</f>
        <v/>
      </c>
      <c r="E263" s="21">
        <f>SUMIFS(Detalle!$M$2:$M$326,Detalle!$T$2:$T$326,$B263)</f>
        <v/>
      </c>
      <c r="F263" s="21">
        <f>D263+E263</f>
        <v/>
      </c>
    </row>
    <row r="264">
      <c r="B264" s="39" t="inlineStr">
        <is>
          <t>EXAMEN MEDICO DE INGRESO - UND</t>
        </is>
      </c>
      <c r="C264" s="40">
        <f>SUMIFS(Detalle!$I$2:$I$326,Detalle!$T$2:$T$326,$B263,Detalle!$H$2:$H$326,$B264)</f>
        <v/>
      </c>
      <c r="D264" s="28">
        <f>SUMIFS(Detalle!$K$2:$K$326,Detalle!$T$2:$T$326,$B263,Detalle!$H$2:$H$326,$B264)</f>
        <v/>
      </c>
      <c r="E264" s="28">
        <f>SUMIFS(Detalle!$M$2:$M$326,Detalle!$T$2:$T$326,$B263,Detalle!$H$2:$H$326,$B264)</f>
        <v/>
      </c>
      <c r="F264" s="28">
        <f>D264+E264</f>
        <v/>
      </c>
    </row>
    <row r="265">
      <c r="B265" s="39" t="inlineStr">
        <is>
          <t>EXAMEN PERIODICO - UND</t>
        </is>
      </c>
      <c r="C265" s="40">
        <f>SUMIFS(Detalle!$I$2:$I$326,Detalle!$T$2:$T$326,$B263,Detalle!$H$2:$H$326,$B265)</f>
        <v/>
      </c>
      <c r="D265" s="28">
        <f>SUMIFS(Detalle!$K$2:$K$326,Detalle!$T$2:$T$326,$B263,Detalle!$H$2:$H$326,$B265)</f>
        <v/>
      </c>
      <c r="E265" s="28">
        <f>SUMIFS(Detalle!$M$2:$M$326,Detalle!$T$2:$T$326,$B263,Detalle!$H$2:$H$326,$B265)</f>
        <v/>
      </c>
      <c r="F265" s="28">
        <f>D265+E265</f>
        <v/>
      </c>
    </row>
    <row r="266">
      <c r="B266" s="20" t="inlineStr">
        <is>
          <t>Micropilotaje</t>
        </is>
      </c>
      <c r="C266" s="38">
        <f>SUMIFS(Detalle!$I$2:$I$326,Detalle!$T$2:$T$326,$B266)</f>
        <v/>
      </c>
      <c r="D266" s="21">
        <f>SUMIFS(Detalle!$K$2:$K$326,Detalle!$T$2:$T$326,$B266)</f>
        <v/>
      </c>
      <c r="E266" s="21">
        <f>SUMIFS(Detalle!$M$2:$M$326,Detalle!$T$2:$T$326,$B266)</f>
        <v/>
      </c>
      <c r="F266" s="21">
        <f>D266+E266</f>
        <v/>
      </c>
    </row>
    <row r="267">
      <c r="B267" s="39" t="inlineStr">
        <is>
          <t>VARILLA ROSCADA B7 3/4 X 1M - METRO</t>
        </is>
      </c>
      <c r="C267" s="40">
        <f>SUMIFS(Detalle!$I$2:$I$326,Detalle!$T$2:$T$326,$B266,Detalle!$H$2:$H$326,$B267)</f>
        <v/>
      </c>
      <c r="D267" s="28">
        <f>SUMIFS(Detalle!$K$2:$K$326,Detalle!$T$2:$T$326,$B266,Detalle!$H$2:$H$326,$B267)</f>
        <v/>
      </c>
      <c r="E267" s="28">
        <f>SUMIFS(Detalle!$M$2:$M$326,Detalle!$T$2:$T$326,$B266,Detalle!$H$2:$H$326,$B267)</f>
        <v/>
      </c>
      <c r="F267" s="28">
        <f>D267+E267</f>
        <v/>
      </c>
    </row>
    <row r="268">
      <c r="B268" s="20" t="inlineStr">
        <is>
          <t>EPP (dotación y seguridad)</t>
        </is>
      </c>
      <c r="C268" s="38">
        <f>SUMIFS(Detalle!$I$2:$I$326,Detalle!$T$2:$T$326,$B268)</f>
        <v/>
      </c>
      <c r="D268" s="21">
        <f>SUMIFS(Detalle!$K$2:$K$326,Detalle!$T$2:$T$326,$B268)</f>
        <v/>
      </c>
      <c r="E268" s="21">
        <f>SUMIFS(Detalle!$M$2:$M$326,Detalle!$T$2:$T$326,$B268)</f>
        <v/>
      </c>
      <c r="F268" s="21">
        <f>D268+E268</f>
        <v/>
      </c>
    </row>
    <row r="269">
      <c r="B269" s="39" t="inlineStr">
        <is>
          <t>GUANTES DE NITRILO - PAR - UND</t>
        </is>
      </c>
      <c r="C269" s="40">
        <f>SUMIFS(Detalle!$I$2:$I$326,Detalle!$T$2:$T$326,$B268,Detalle!$H$2:$H$326,$B269)</f>
        <v/>
      </c>
      <c r="D269" s="28">
        <f>SUMIFS(Detalle!$K$2:$K$326,Detalle!$T$2:$T$326,$B268,Detalle!$H$2:$H$326,$B269)</f>
        <v/>
      </c>
      <c r="E269" s="28">
        <f>SUMIFS(Detalle!$M$2:$M$326,Detalle!$T$2:$T$326,$B268,Detalle!$H$2:$H$326,$B269)</f>
        <v/>
      </c>
      <c r="F269" s="28">
        <f>D269+E269</f>
        <v/>
      </c>
    </row>
    <row r="270">
      <c r="B270" s="20" t="inlineStr">
        <is>
          <t>Tableros y protecciones</t>
        </is>
      </c>
      <c r="C270" s="38">
        <f>SUMIFS(Detalle!$I$2:$I$326,Detalle!$T$2:$T$326,$B270)</f>
        <v/>
      </c>
      <c r="D270" s="21">
        <f>SUMIFS(Detalle!$K$2:$K$326,Detalle!$T$2:$T$326,$B270)</f>
        <v/>
      </c>
      <c r="E270" s="21">
        <f>SUMIFS(Detalle!$M$2:$M$326,Detalle!$T$2:$T$326,$B270)</f>
        <v/>
      </c>
      <c r="F270" s="21">
        <f>D270+E270</f>
        <v/>
      </c>
    </row>
    <row r="271">
      <c r="B271" s="39" t="inlineStr">
        <is>
          <t>INTERRUPTOR ELETRICO SENCILLO - UND</t>
        </is>
      </c>
      <c r="C271" s="40">
        <f>SUMIFS(Detalle!$I$2:$I$326,Detalle!$T$2:$T$326,$B270,Detalle!$H$2:$H$326,$B271)</f>
        <v/>
      </c>
      <c r="D271" s="28">
        <f>SUMIFS(Detalle!$K$2:$K$326,Detalle!$T$2:$T$326,$B270,Detalle!$H$2:$H$326,$B271)</f>
        <v/>
      </c>
      <c r="E271" s="28">
        <f>SUMIFS(Detalle!$M$2:$M$326,Detalle!$T$2:$T$326,$B270,Detalle!$H$2:$H$326,$B271)</f>
        <v/>
      </c>
      <c r="F271" s="28">
        <f>D271+E271</f>
        <v/>
      </c>
    </row>
  </sheetData>
  <mergeCells count="2">
    <mergeCell ref="B3:G3"/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0" customWidth="1" min="3" max="3"/>
    <col width="16" customWidth="1" min="4" max="4"/>
    <col width="18" customWidth="1" min="5" max="5"/>
    <col width="11" customWidth="1" min="6" max="6"/>
  </cols>
  <sheetData>
    <row r="2">
      <c r="B2" s="22" t="inlineStr">
        <is>
          <t>GASTO POR PROVEEDOR</t>
        </is>
      </c>
    </row>
    <row r="3">
      <c r="B3" s="23" t="inlineStr">
        <is>
          <t>Valores calculados con SUMAR.SI.CONJUNTO sobre la hoja Detalle.</t>
        </is>
      </c>
    </row>
    <row r="5">
      <c r="B5" s="15" t="inlineStr">
        <is>
          <t>Proveedor</t>
        </is>
      </c>
      <c r="C5" s="15" t="inlineStr">
        <is>
          <t>Valor sin IVA</t>
        </is>
      </c>
      <c r="D5" s="15" t="inlineStr">
        <is>
          <t>IVA</t>
        </is>
      </c>
      <c r="E5" s="15" t="inlineStr">
        <is>
          <t>Total con IVA</t>
        </is>
      </c>
      <c r="F5" s="15" t="inlineStr">
        <is>
          <t>% del total</t>
        </is>
      </c>
    </row>
    <row r="6">
      <c r="B6" s="16" t="inlineStr">
        <is>
          <t>ALURACK S.A.S.</t>
        </is>
      </c>
      <c r="C6" s="17">
        <f>SUMIFS(Detalle!$K$2:$K$326,Detalle!$P$2:$P$326,$B6)</f>
        <v/>
      </c>
      <c r="D6" s="17">
        <f>SUMIFS(Detalle!$M$2:$M$326,Detalle!$P$2:$P$326,$B6)</f>
        <v/>
      </c>
      <c r="E6" s="17">
        <f>C6+D6</f>
        <v/>
      </c>
      <c r="F6" s="34">
        <f>IF(SUM(Detalle!$K$2:$K$326)=0,0,C6/SUM(Detalle!$K$2:$K$326))</f>
        <v/>
      </c>
    </row>
    <row r="7">
      <c r="B7" s="18" t="inlineStr">
        <is>
          <t>INGENIERIA Y SOLUCIONES DE NARIÑO SAS</t>
        </is>
      </c>
      <c r="C7" s="19">
        <f>SUMIFS(Detalle!$K$2:$K$326,Detalle!$P$2:$P$326,$B7)</f>
        <v/>
      </c>
      <c r="D7" s="19">
        <f>SUMIFS(Detalle!$M$2:$M$326,Detalle!$P$2:$P$326,$B7)</f>
        <v/>
      </c>
      <c r="E7" s="19">
        <f>C7+D7</f>
        <v/>
      </c>
      <c r="F7" s="36">
        <f>IF(SUM(Detalle!$K$2:$K$326)=0,0,C7/SUM(Detalle!$K$2:$K$326))</f>
        <v/>
      </c>
    </row>
    <row r="8">
      <c r="B8" s="16" t="inlineStr">
        <is>
          <t>ELECTRICOS DEL VALLE SAS</t>
        </is>
      </c>
      <c r="C8" s="17">
        <f>SUMIFS(Detalle!$K$2:$K$326,Detalle!$P$2:$P$326,$B8)</f>
        <v/>
      </c>
      <c r="D8" s="17">
        <f>SUMIFS(Detalle!$M$2:$M$326,Detalle!$P$2:$P$326,$B8)</f>
        <v/>
      </c>
      <c r="E8" s="17">
        <f>C8+D8</f>
        <v/>
      </c>
      <c r="F8" s="34">
        <f>IF(SUM(Detalle!$K$2:$K$326)=0,0,C8/SUM(Detalle!$K$2:$K$326))</f>
        <v/>
      </c>
    </row>
    <row r="9">
      <c r="B9" s="18" t="inlineStr">
        <is>
          <t>GRUPO SOLAIRE SAS</t>
        </is>
      </c>
      <c r="C9" s="19">
        <f>SUMIFS(Detalle!$K$2:$K$326,Detalle!$P$2:$P$326,$B9)</f>
        <v/>
      </c>
      <c r="D9" s="19">
        <f>SUMIFS(Detalle!$M$2:$M$326,Detalle!$P$2:$P$326,$B9)</f>
        <v/>
      </c>
      <c r="E9" s="19">
        <f>C9+D9</f>
        <v/>
      </c>
      <c r="F9" s="36">
        <f>IF(SUM(Detalle!$K$2:$K$326)=0,0,C9/SUM(Detalle!$K$2:$K$326))</f>
        <v/>
      </c>
    </row>
    <row r="10">
      <c r="B10" s="16" t="inlineStr">
        <is>
          <t>CAMPO HELMER PORTILLO PORTILLA</t>
        </is>
      </c>
      <c r="C10" s="17">
        <f>SUMIFS(Detalle!$K$2:$K$326,Detalle!$P$2:$P$326,$B10)</f>
        <v/>
      </c>
      <c r="D10" s="17">
        <f>SUMIFS(Detalle!$M$2:$M$326,Detalle!$P$2:$P$326,$B10)</f>
        <v/>
      </c>
      <c r="E10" s="17">
        <f>C10+D10</f>
        <v/>
      </c>
      <c r="F10" s="34">
        <f>IF(SUM(Detalle!$K$2:$K$326)=0,0,C10/SUM(Detalle!$K$2:$K$326))</f>
        <v/>
      </c>
    </row>
    <row r="11">
      <c r="B11" s="18" t="inlineStr">
        <is>
          <t>FAINCO SAS</t>
        </is>
      </c>
      <c r="C11" s="19">
        <f>SUMIFS(Detalle!$K$2:$K$326,Detalle!$P$2:$P$326,$B11)</f>
        <v/>
      </c>
      <c r="D11" s="19">
        <f>SUMIFS(Detalle!$M$2:$M$326,Detalle!$P$2:$P$326,$B11)</f>
        <v/>
      </c>
      <c r="E11" s="19">
        <f>C11+D11</f>
        <v/>
      </c>
      <c r="F11" s="36">
        <f>IF(SUM(Detalle!$K$2:$K$326)=0,0,C11/SUM(Detalle!$K$2:$K$326))</f>
        <v/>
      </c>
    </row>
    <row r="12">
      <c r="B12" s="16" t="inlineStr">
        <is>
          <t>HUMBERTO JAVIER ROSERO POTOSI</t>
        </is>
      </c>
      <c r="C12" s="17">
        <f>SUMIFS(Detalle!$K$2:$K$326,Detalle!$P$2:$P$326,$B12)</f>
        <v/>
      </c>
      <c r="D12" s="17">
        <f>SUMIFS(Detalle!$M$2:$M$326,Detalle!$P$2:$P$326,$B12)</f>
        <v/>
      </c>
      <c r="E12" s="17">
        <f>C12+D12</f>
        <v/>
      </c>
      <c r="F12" s="34">
        <f>IF(SUM(Detalle!$K$2:$K$326)=0,0,C12/SUM(Detalle!$K$2:$K$326))</f>
        <v/>
      </c>
    </row>
    <row r="13">
      <c r="B13" s="18" t="inlineStr">
        <is>
          <t>MAYERLINE TOBAR GOMEZ</t>
        </is>
      </c>
      <c r="C13" s="19">
        <f>SUMIFS(Detalle!$K$2:$K$326,Detalle!$P$2:$P$326,$B13)</f>
        <v/>
      </c>
      <c r="D13" s="19">
        <f>SUMIFS(Detalle!$M$2:$M$326,Detalle!$P$2:$P$326,$B13)</f>
        <v/>
      </c>
      <c r="E13" s="19">
        <f>C13+D13</f>
        <v/>
      </c>
      <c r="F13" s="36">
        <f>IF(SUM(Detalle!$K$2:$K$326)=0,0,C13/SUM(Detalle!$K$2:$K$326))</f>
        <v/>
      </c>
    </row>
    <row r="14">
      <c r="B14" s="16" t="inlineStr">
        <is>
          <t>ANDREA PATRICIA LASSO (FERROPAISA)</t>
        </is>
      </c>
      <c r="C14" s="17">
        <f>SUMIFS(Detalle!$K$2:$K$326,Detalle!$P$2:$P$326,$B14)</f>
        <v/>
      </c>
      <c r="D14" s="17">
        <f>SUMIFS(Detalle!$M$2:$M$326,Detalle!$P$2:$P$326,$B14)</f>
        <v/>
      </c>
      <c r="E14" s="17">
        <f>C14+D14</f>
        <v/>
      </c>
      <c r="F14" s="34">
        <f>IF(SUM(Detalle!$K$2:$K$326)=0,0,C14/SUM(Detalle!$K$2:$K$326))</f>
        <v/>
      </c>
    </row>
    <row r="15">
      <c r="B15" s="18" t="inlineStr">
        <is>
          <t>JASSON ALBEIRO VALENCIA ROSERO</t>
        </is>
      </c>
      <c r="C15" s="19">
        <f>SUMIFS(Detalle!$K$2:$K$326,Detalle!$P$2:$P$326,$B15)</f>
        <v/>
      </c>
      <c r="D15" s="19">
        <f>SUMIFS(Detalle!$M$2:$M$326,Detalle!$P$2:$P$326,$B15)</f>
        <v/>
      </c>
      <c r="E15" s="19">
        <f>C15+D15</f>
        <v/>
      </c>
      <c r="F15" s="36">
        <f>IF(SUM(Detalle!$K$2:$K$326)=0,0,C15/SUM(Detalle!$K$2:$K$326))</f>
        <v/>
      </c>
    </row>
    <row r="16">
      <c r="B16" s="16" t="inlineStr">
        <is>
          <t>DILIANA HINOJOSA INFANTE (DISTRIBUIDORA DE MATERIALES DYD)</t>
        </is>
      </c>
      <c r="C16" s="17">
        <f>SUMIFS(Detalle!$K$2:$K$326,Detalle!$P$2:$P$326,$B16)</f>
        <v/>
      </c>
      <c r="D16" s="17">
        <f>SUMIFS(Detalle!$M$2:$M$326,Detalle!$P$2:$P$326,$B16)</f>
        <v/>
      </c>
      <c r="E16" s="17">
        <f>C16+D16</f>
        <v/>
      </c>
      <c r="F16" s="34">
        <f>IF(SUM(Detalle!$K$2:$K$326)=0,0,C16/SUM(Detalle!$K$2:$K$326))</f>
        <v/>
      </c>
    </row>
    <row r="17">
      <c r="B17" s="18" t="inlineStr">
        <is>
          <t>DAGELEC LTDA</t>
        </is>
      </c>
      <c r="C17" s="19">
        <f>SUMIFS(Detalle!$K$2:$K$326,Detalle!$P$2:$P$326,$B17)</f>
        <v/>
      </c>
      <c r="D17" s="19">
        <f>SUMIFS(Detalle!$M$2:$M$326,Detalle!$P$2:$P$326,$B17)</f>
        <v/>
      </c>
      <c r="E17" s="19">
        <f>C17+D17</f>
        <v/>
      </c>
      <c r="F17" s="36">
        <f>IF(SUM(Detalle!$K$2:$K$326)=0,0,C17/SUM(Detalle!$K$2:$K$326))</f>
        <v/>
      </c>
    </row>
    <row r="18">
      <c r="B18" s="16" t="inlineStr">
        <is>
          <t>NEGAWATT S.A.S</t>
        </is>
      </c>
      <c r="C18" s="17">
        <f>SUMIFS(Detalle!$K$2:$K$326,Detalle!$P$2:$P$326,$B18)</f>
        <v/>
      </c>
      <c r="D18" s="17">
        <f>SUMIFS(Detalle!$M$2:$M$326,Detalle!$P$2:$P$326,$B18)</f>
        <v/>
      </c>
      <c r="E18" s="17">
        <f>C18+D18</f>
        <v/>
      </c>
      <c r="F18" s="34">
        <f>IF(SUM(Detalle!$K$2:$K$326)=0,0,C18/SUM(Detalle!$K$2:$K$326))</f>
        <v/>
      </c>
    </row>
    <row r="19">
      <c r="B19" s="18" t="inlineStr">
        <is>
          <t>AWA INGENIERIA LTDA</t>
        </is>
      </c>
      <c r="C19" s="19">
        <f>SUMIFS(Detalle!$K$2:$K$326,Detalle!$P$2:$P$326,$B19)</f>
        <v/>
      </c>
      <c r="D19" s="19">
        <f>SUMIFS(Detalle!$M$2:$M$326,Detalle!$P$2:$P$326,$B19)</f>
        <v/>
      </c>
      <c r="E19" s="19">
        <f>C19+D19</f>
        <v/>
      </c>
      <c r="F19" s="36">
        <f>IF(SUM(Detalle!$K$2:$K$326)=0,0,C19/SUM(Detalle!$K$2:$K$326))</f>
        <v/>
      </c>
    </row>
    <row r="20">
      <c r="B20" s="16" t="inlineStr">
        <is>
          <t>HOOVER ANTONIO GUACHAVES LASSO</t>
        </is>
      </c>
      <c r="C20" s="17">
        <f>SUMIFS(Detalle!$K$2:$K$326,Detalle!$P$2:$P$326,$B20)</f>
        <v/>
      </c>
      <c r="D20" s="17">
        <f>SUMIFS(Detalle!$M$2:$M$326,Detalle!$P$2:$P$326,$B20)</f>
        <v/>
      </c>
      <c r="E20" s="17">
        <f>C20+D20</f>
        <v/>
      </c>
      <c r="F20" s="34">
        <f>IF(SUM(Detalle!$K$2:$K$326)=0,0,C20/SUM(Detalle!$K$2:$K$326))</f>
        <v/>
      </c>
    </row>
    <row r="21">
      <c r="B21" s="18" t="inlineStr">
        <is>
          <t>ODIR CERTIFICACIONES SAS</t>
        </is>
      </c>
      <c r="C21" s="19">
        <f>SUMIFS(Detalle!$K$2:$K$326,Detalle!$P$2:$P$326,$B21)</f>
        <v/>
      </c>
      <c r="D21" s="19">
        <f>SUMIFS(Detalle!$M$2:$M$326,Detalle!$P$2:$P$326,$B21)</f>
        <v/>
      </c>
      <c r="E21" s="19">
        <f>C21+D21</f>
        <v/>
      </c>
      <c r="F21" s="36">
        <f>IF(SUM(Detalle!$K$2:$K$326)=0,0,C21/SUM(Detalle!$K$2:$K$326))</f>
        <v/>
      </c>
    </row>
    <row r="22">
      <c r="B22" s="16" t="inlineStr">
        <is>
          <t>UNIDAD DE PLANEACION MINERO ENERGETICA (UPME)</t>
        </is>
      </c>
      <c r="C22" s="17">
        <f>SUMIFS(Detalle!$K$2:$K$326,Detalle!$P$2:$P$326,$B22)</f>
        <v/>
      </c>
      <c r="D22" s="17">
        <f>SUMIFS(Detalle!$M$2:$M$326,Detalle!$P$2:$P$326,$B22)</f>
        <v/>
      </c>
      <c r="E22" s="17">
        <f>C22+D22</f>
        <v/>
      </c>
      <c r="F22" s="34">
        <f>IF(SUM(Detalle!$K$2:$K$326)=0,0,C22/SUM(Detalle!$K$2:$K$326))</f>
        <v/>
      </c>
    </row>
    <row r="23">
      <c r="B23" s="18" t="inlineStr">
        <is>
          <t>JOHN JAIRO CHAPAL ESTACIO</t>
        </is>
      </c>
      <c r="C23" s="19">
        <f>SUMIFS(Detalle!$K$2:$K$326,Detalle!$P$2:$P$326,$B23)</f>
        <v/>
      </c>
      <c r="D23" s="19">
        <f>SUMIFS(Detalle!$M$2:$M$326,Detalle!$P$2:$P$326,$B23)</f>
        <v/>
      </c>
      <c r="E23" s="19">
        <f>C23+D23</f>
        <v/>
      </c>
      <c r="F23" s="36">
        <f>IF(SUM(Detalle!$K$2:$K$326)=0,0,C23/SUM(Detalle!$K$2:$K$326))</f>
        <v/>
      </c>
    </row>
    <row r="24">
      <c r="B24" s="16" t="inlineStr">
        <is>
          <t>NACIONAL DE TRANSFORMADORES S.A.S (TESLA)</t>
        </is>
      </c>
      <c r="C24" s="17">
        <f>SUMIFS(Detalle!$K$2:$K$326,Detalle!$P$2:$P$326,$B24)</f>
        <v/>
      </c>
      <c r="D24" s="17">
        <f>SUMIFS(Detalle!$M$2:$M$326,Detalle!$P$2:$P$326,$B24)</f>
        <v/>
      </c>
      <c r="E24" s="17">
        <f>C24+D24</f>
        <v/>
      </c>
      <c r="F24" s="34">
        <f>IF(SUM(Detalle!$K$2:$K$326)=0,0,C24/SUM(Detalle!$K$2:$K$326))</f>
        <v/>
      </c>
    </row>
    <row r="25">
      <c r="B25" s="18" t="inlineStr">
        <is>
          <t>INPEL S.A.</t>
        </is>
      </c>
      <c r="C25" s="19">
        <f>SUMIFS(Detalle!$K$2:$K$326,Detalle!$P$2:$P$326,$B25)</f>
        <v/>
      </c>
      <c r="D25" s="19">
        <f>SUMIFS(Detalle!$M$2:$M$326,Detalle!$P$2:$P$326,$B25)</f>
        <v/>
      </c>
      <c r="E25" s="19">
        <f>C25+D25</f>
        <v/>
      </c>
      <c r="F25" s="36">
        <f>IF(SUM(Detalle!$K$2:$K$326)=0,0,C25/SUM(Detalle!$K$2:$K$326))</f>
        <v/>
      </c>
    </row>
    <row r="26">
      <c r="B26" s="16" t="inlineStr">
        <is>
          <t>AURA MIREY BURBANO DAZA (FERROMAC)</t>
        </is>
      </c>
      <c r="C26" s="17">
        <f>SUMIFS(Detalle!$K$2:$K$326,Detalle!$P$2:$P$326,$B26)</f>
        <v/>
      </c>
      <c r="D26" s="17">
        <f>SUMIFS(Detalle!$M$2:$M$326,Detalle!$P$2:$P$326,$B26)</f>
        <v/>
      </c>
      <c r="E26" s="17">
        <f>C26+D26</f>
        <v/>
      </c>
      <c r="F26" s="34">
        <f>IF(SUM(Detalle!$K$2:$K$326)=0,0,C26/SUM(Detalle!$K$2:$K$326))</f>
        <v/>
      </c>
    </row>
    <row r="27">
      <c r="B27" s="18" t="inlineStr">
        <is>
          <t>ANGELICA MARIA AGREDA AGREDA</t>
        </is>
      </c>
      <c r="C27" s="19">
        <f>SUMIFS(Detalle!$K$2:$K$326,Detalle!$P$2:$P$326,$B27)</f>
        <v/>
      </c>
      <c r="D27" s="19">
        <f>SUMIFS(Detalle!$M$2:$M$326,Detalle!$P$2:$P$326,$B27)</f>
        <v/>
      </c>
      <c r="E27" s="19">
        <f>C27+D27</f>
        <v/>
      </c>
      <c r="F27" s="36">
        <f>IF(SUM(Detalle!$K$2:$K$326)=0,0,C27/SUM(Detalle!$K$2:$K$326))</f>
        <v/>
      </c>
    </row>
    <row r="28">
      <c r="B28" s="16" t="inlineStr">
        <is>
          <t>GLADIS MARGOTH ARTEAGA</t>
        </is>
      </c>
      <c r="C28" s="17">
        <f>SUMIFS(Detalle!$K$2:$K$326,Detalle!$P$2:$P$326,$B28)</f>
        <v/>
      </c>
      <c r="D28" s="17">
        <f>SUMIFS(Detalle!$M$2:$M$326,Detalle!$P$2:$P$326,$B28)</f>
        <v/>
      </c>
      <c r="E28" s="17">
        <f>C28+D28</f>
        <v/>
      </c>
      <c r="F28" s="34">
        <f>IF(SUM(Detalle!$K$2:$K$326)=0,0,C28/SUM(Detalle!$K$2:$K$326))</f>
        <v/>
      </c>
    </row>
    <row r="29">
      <c r="B29" s="18" t="inlineStr">
        <is>
          <t>CONSTRUELECTRIC CNE SAS</t>
        </is>
      </c>
      <c r="C29" s="19">
        <f>SUMIFS(Detalle!$K$2:$K$326,Detalle!$P$2:$P$326,$B29)</f>
        <v/>
      </c>
      <c r="D29" s="19">
        <f>SUMIFS(Detalle!$M$2:$M$326,Detalle!$P$2:$P$326,$B29)</f>
        <v/>
      </c>
      <c r="E29" s="19">
        <f>C29+D29</f>
        <v/>
      </c>
      <c r="F29" s="36">
        <f>IF(SUM(Detalle!$K$2:$K$326)=0,0,C29/SUM(Detalle!$K$2:$K$326))</f>
        <v/>
      </c>
    </row>
    <row r="30">
      <c r="B30" s="16" t="inlineStr">
        <is>
          <t>LIBIA MIREYA ROSERO DAZA (FERRETERIA EL BORDO)</t>
        </is>
      </c>
      <c r="C30" s="17">
        <f>SUMIFS(Detalle!$K$2:$K$326,Detalle!$P$2:$P$326,$B30)</f>
        <v/>
      </c>
      <c r="D30" s="17">
        <f>SUMIFS(Detalle!$M$2:$M$326,Detalle!$P$2:$P$326,$B30)</f>
        <v/>
      </c>
      <c r="E30" s="17">
        <f>C30+D30</f>
        <v/>
      </c>
      <c r="F30" s="34">
        <f>IF(SUM(Detalle!$K$2:$K$326)=0,0,C30/SUM(Detalle!$K$2:$K$326))</f>
        <v/>
      </c>
    </row>
    <row r="31">
      <c r="B31" s="18" t="inlineStr">
        <is>
          <t>MELBA LIGIA MONCAYO DE RAMOS</t>
        </is>
      </c>
      <c r="C31" s="19">
        <f>SUMIFS(Detalle!$K$2:$K$326,Detalle!$P$2:$P$326,$B31)</f>
        <v/>
      </c>
      <c r="D31" s="19">
        <f>SUMIFS(Detalle!$M$2:$M$326,Detalle!$P$2:$P$326,$B31)</f>
        <v/>
      </c>
      <c r="E31" s="19">
        <f>C31+D31</f>
        <v/>
      </c>
      <c r="F31" s="36">
        <f>IF(SUM(Detalle!$K$2:$K$326)=0,0,C31/SUM(Detalle!$K$2:$K$326))</f>
        <v/>
      </c>
    </row>
    <row r="32">
      <c r="B32" s="16" t="inlineStr">
        <is>
          <t>ALEXANDER ANGULO BURBANO</t>
        </is>
      </c>
      <c r="C32" s="17">
        <f>SUMIFS(Detalle!$K$2:$K$326,Detalle!$P$2:$P$326,$B32)</f>
        <v/>
      </c>
      <c r="D32" s="17">
        <f>SUMIFS(Detalle!$M$2:$M$326,Detalle!$P$2:$P$326,$B32)</f>
        <v/>
      </c>
      <c r="E32" s="17">
        <f>C32+D32</f>
        <v/>
      </c>
      <c r="F32" s="34">
        <f>IF(SUM(Detalle!$K$2:$K$326)=0,0,C32/SUM(Detalle!$K$2:$K$326))</f>
        <v/>
      </c>
    </row>
    <row r="33">
      <c r="B33" s="18" t="inlineStr">
        <is>
          <t>EMSI TECHNOLOGIES COLOMBIA S.A.S</t>
        </is>
      </c>
      <c r="C33" s="19">
        <f>SUMIFS(Detalle!$K$2:$K$326,Detalle!$P$2:$P$326,$B33)</f>
        <v/>
      </c>
      <c r="D33" s="19">
        <f>SUMIFS(Detalle!$M$2:$M$326,Detalle!$P$2:$P$326,$B33)</f>
        <v/>
      </c>
      <c r="E33" s="19">
        <f>C33+D33</f>
        <v/>
      </c>
      <c r="F33" s="36">
        <f>IF(SUM(Detalle!$K$2:$K$326)=0,0,C33/SUM(Detalle!$K$2:$K$326))</f>
        <v/>
      </c>
    </row>
    <row r="34">
      <c r="B34" s="16" t="inlineStr">
        <is>
          <t>GRUPO EMPRESARIAL SILVER S.A.S</t>
        </is>
      </c>
      <c r="C34" s="17">
        <f>SUMIFS(Detalle!$K$2:$K$326,Detalle!$P$2:$P$326,$B34)</f>
        <v/>
      </c>
      <c r="D34" s="17">
        <f>SUMIFS(Detalle!$M$2:$M$326,Detalle!$P$2:$P$326,$B34)</f>
        <v/>
      </c>
      <c r="E34" s="17">
        <f>C34+D34</f>
        <v/>
      </c>
      <c r="F34" s="34">
        <f>IF(SUM(Detalle!$K$2:$K$326)=0,0,C34/SUM(Detalle!$K$2:$K$326))</f>
        <v/>
      </c>
    </row>
    <row r="35">
      <c r="B35" s="18" t="inlineStr">
        <is>
          <t>DISTRITO E SAS</t>
        </is>
      </c>
      <c r="C35" s="19">
        <f>SUMIFS(Detalle!$K$2:$K$326,Detalle!$P$2:$P$326,$B35)</f>
        <v/>
      </c>
      <c r="D35" s="19">
        <f>SUMIFS(Detalle!$M$2:$M$326,Detalle!$P$2:$P$326,$B35)</f>
        <v/>
      </c>
      <c r="E35" s="19">
        <f>C35+D35</f>
        <v/>
      </c>
      <c r="F35" s="36">
        <f>IF(SUM(Detalle!$K$2:$K$326)=0,0,C35/SUM(Detalle!$K$2:$K$326))</f>
        <v/>
      </c>
    </row>
    <row r="36">
      <c r="B36" s="16" t="inlineStr">
        <is>
          <t>IPS BIENESTAR LABORAL SAS</t>
        </is>
      </c>
      <c r="C36" s="17">
        <f>SUMIFS(Detalle!$K$2:$K$326,Detalle!$P$2:$P$326,$B36)</f>
        <v/>
      </c>
      <c r="D36" s="17">
        <f>SUMIFS(Detalle!$M$2:$M$326,Detalle!$P$2:$P$326,$B36)</f>
        <v/>
      </c>
      <c r="E36" s="17">
        <f>C36+D36</f>
        <v/>
      </c>
      <c r="F36" s="34">
        <f>IF(SUM(Detalle!$K$2:$K$326)=0,0,C36/SUM(Detalle!$K$2:$K$326))</f>
        <v/>
      </c>
    </row>
    <row r="37">
      <c r="B37" s="18" t="inlineStr">
        <is>
          <t>RAMIREZ Y DAVID SAS</t>
        </is>
      </c>
      <c r="C37" s="19">
        <f>SUMIFS(Detalle!$K$2:$K$326,Detalle!$P$2:$P$326,$B37)</f>
        <v/>
      </c>
      <c r="D37" s="19">
        <f>SUMIFS(Detalle!$M$2:$M$326,Detalle!$P$2:$P$326,$B37)</f>
        <v/>
      </c>
      <c r="E37" s="19">
        <f>C37+D37</f>
        <v/>
      </c>
      <c r="F37" s="36">
        <f>IF(SUM(Detalle!$K$2:$K$326)=0,0,C37/SUM(Detalle!$K$2:$K$326))</f>
        <v/>
      </c>
    </row>
    <row r="38">
      <c r="B38" s="16" t="inlineStr">
        <is>
          <t>SEGURIDAD DEL SUR LIMITADA</t>
        </is>
      </c>
      <c r="C38" s="17">
        <f>SUMIFS(Detalle!$K$2:$K$326,Detalle!$P$2:$P$326,$B38)</f>
        <v/>
      </c>
      <c r="D38" s="17">
        <f>SUMIFS(Detalle!$M$2:$M$326,Detalle!$P$2:$P$326,$B38)</f>
        <v/>
      </c>
      <c r="E38" s="17">
        <f>C38+D38</f>
        <v/>
      </c>
      <c r="F38" s="34">
        <f>IF(SUM(Detalle!$K$2:$K$326)=0,0,C38/SUM(Detalle!$K$2:$K$326))</f>
        <v/>
      </c>
    </row>
    <row r="39">
      <c r="B39" s="20" t="inlineStr">
        <is>
          <t>TOTAL</t>
        </is>
      </c>
      <c r="C39" s="21">
        <f>SUM(Detalle!$K$2:$K$326)</f>
        <v/>
      </c>
      <c r="D39" s="21">
        <f>SUM(Detalle!$M$2:$M$326)</f>
        <v/>
      </c>
      <c r="E39" s="21">
        <f>C39+D39</f>
        <v/>
      </c>
      <c r="F39" s="25" t="n">
        <v>1</v>
      </c>
    </row>
  </sheetData>
  <mergeCells count="2">
    <mergeCell ref="B2:F2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6" customWidth="1" min="4" max="4"/>
    <col width="30" customWidth="1" min="5" max="5"/>
    <col width="22" customWidth="1" min="6" max="6"/>
  </cols>
  <sheetData>
    <row r="2">
      <c r="B2" s="22" t="inlineStr">
        <is>
          <t>COMPRAS POR ESTADO Y LEGALIZACIÓN</t>
        </is>
      </c>
    </row>
    <row r="4">
      <c r="B4" s="41" t="inlineStr">
        <is>
          <t>Por estado de la orden</t>
        </is>
      </c>
      <c r="E4" s="41" t="inlineStr">
        <is>
          <t>Por estado de legalización</t>
        </is>
      </c>
    </row>
    <row r="5">
      <c r="B5" s="15" t="inlineStr">
        <is>
          <t>Concepto</t>
        </is>
      </c>
      <c r="C5" s="15" t="inlineStr">
        <is>
          <t>Valor sin IVA</t>
        </is>
      </c>
      <c r="E5" s="15" t="inlineStr">
        <is>
          <t>Concepto</t>
        </is>
      </c>
      <c r="F5" s="15" t="inlineStr">
        <is>
          <t>Valor sin IVA</t>
        </is>
      </c>
    </row>
    <row r="6">
      <c r="B6" s="16" t="inlineStr">
        <is>
          <t>CERRADA</t>
        </is>
      </c>
      <c r="C6" s="17">
        <f>SUMIFS(Detalle!$K$2:$K$326,Detalle!$D$2:$D$326,B6)</f>
        <v/>
      </c>
      <c r="E6" s="16" t="inlineStr">
        <is>
          <t>PAGADA</t>
        </is>
      </c>
      <c r="F6" s="17">
        <f>SUMIFS(Detalle!$K$2:$K$326,Detalle!$E$2:$E$326,E6)</f>
        <v/>
      </c>
    </row>
    <row r="7">
      <c r="B7" s="18" t="inlineStr">
        <is>
          <t>GENERADA</t>
        </is>
      </c>
      <c r="C7" s="19">
        <f>SUMIFS(Detalle!$K$2:$K$326,Detalle!$D$2:$D$326,B7)</f>
        <v/>
      </c>
      <c r="E7" s="18" t="inlineStr">
        <is>
          <t>CAUSADA</t>
        </is>
      </c>
      <c r="F7" s="19">
        <f>SUMIFS(Detalle!$K$2:$K$326,Detalle!$E$2:$E$326,E7)</f>
        <v/>
      </c>
    </row>
    <row r="8">
      <c r="B8" s="20" t="inlineStr">
        <is>
          <t>TOTAL</t>
        </is>
      </c>
      <c r="C8" s="21">
        <f>SUM(C6:C7)</f>
        <v/>
      </c>
      <c r="E8" s="16" t="inlineStr">
        <is>
          <t>PENDIENTE</t>
        </is>
      </c>
      <c r="F8" s="17">
        <f>SUMIFS(Detalle!$K$2:$K$326,Detalle!$E$2:$E$326,E8)</f>
        <v/>
      </c>
    </row>
    <row r="9">
      <c r="E9" s="20" t="inlineStr">
        <is>
          <t>TOTAL</t>
        </is>
      </c>
      <c r="F9" s="21">
        <f>SUM(F6:F8)</f>
        <v/>
      </c>
    </row>
    <row r="12">
      <c r="B12" s="41" t="inlineStr">
        <is>
          <t>Por tipo de solicitud</t>
        </is>
      </c>
    </row>
    <row r="13">
      <c r="B13" s="15" t="inlineStr">
        <is>
          <t>Concepto</t>
        </is>
      </c>
      <c r="C13" s="15" t="inlineStr">
        <is>
          <t>Valor sin IVA</t>
        </is>
      </c>
    </row>
    <row r="14">
      <c r="B14" s="16" t="inlineStr">
        <is>
          <t>PLANEADA</t>
        </is>
      </c>
      <c r="C14" s="17">
        <f>SUMIFS(Detalle!$K$2:$K$326,Detalle!$Q$2:$Q$326,B14)</f>
        <v/>
      </c>
    </row>
    <row r="15">
      <c r="B15" s="18" t="inlineStr">
        <is>
          <t>URGENCIA</t>
        </is>
      </c>
      <c r="C15" s="19">
        <f>SUMIFS(Detalle!$K$2:$K$326,Detalle!$Q$2:$Q$326,B15)</f>
        <v/>
      </c>
    </row>
    <row r="16">
      <c r="B16" s="16" t="inlineStr">
        <is>
          <t>EMERGENCIA</t>
        </is>
      </c>
      <c r="C16" s="17">
        <f>SUMIFS(Detalle!$K$2:$K$326,Detalle!$Q$2:$Q$326,B16)</f>
        <v/>
      </c>
    </row>
    <row r="17">
      <c r="B17" s="20" t="inlineStr">
        <is>
          <t>TOTAL</t>
        </is>
      </c>
      <c r="C17" s="21">
        <f>SUM(C14:C16)</f>
        <v/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1" customWidth="1" min="4" max="4"/>
    <col width="12" customWidth="1" min="5" max="5"/>
    <col width="22" customWidth="1" min="6" max="6"/>
    <col width="26" customWidth="1" min="7" max="7"/>
    <col width="42" customWidth="1" min="8" max="8"/>
    <col width="7" customWidth="1" min="9" max="9"/>
    <col width="15" customWidth="1" min="10" max="10"/>
    <col width="16" customWidth="1" min="11" max="11"/>
    <col width="12" customWidth="1" min="12" max="12"/>
    <col width="14" customWidth="1" min="13" max="13"/>
    <col width="16" customWidth="1" min="14" max="14"/>
    <col width="22" customWidth="1" min="15" max="15"/>
    <col width="32" customWidth="1" min="16" max="16"/>
    <col width="13" customWidth="1" min="17" max="17"/>
    <col width="14" customWidth="1" min="18" max="18"/>
    <col width="16" customWidth="1" min="19" max="19"/>
    <col width="28" customWidth="1" min="20" max="20"/>
  </cols>
  <sheetData>
    <row r="1">
      <c r="A1" s="15" t="inlineStr">
        <is>
          <t>Fecha</t>
        </is>
      </c>
      <c r="B1" s="15" t="inlineStr">
        <is>
          <t>No OC</t>
        </is>
      </c>
      <c r="C1" s="15" t="inlineStr">
        <is>
          <t>No pedido</t>
        </is>
      </c>
      <c r="D1" s="15" t="inlineStr">
        <is>
          <t>Estado</t>
        </is>
      </c>
      <c r="E1" s="15" t="inlineStr">
        <is>
          <t>Legalización</t>
        </is>
      </c>
      <c r="F1" s="15" t="inlineStr">
        <is>
          <t>Grupo</t>
        </is>
      </c>
      <c r="G1" s="15" t="inlineStr">
        <is>
          <t>Sub grupo</t>
        </is>
      </c>
      <c r="H1" s="15" t="inlineStr">
        <is>
          <t>Producto / servicio</t>
        </is>
      </c>
      <c r="I1" s="15" t="inlineStr">
        <is>
          <t>Cant.</t>
        </is>
      </c>
      <c r="J1" s="15" t="inlineStr">
        <is>
          <t>Precio unit.</t>
        </is>
      </c>
      <c r="K1" s="15" t="inlineStr">
        <is>
          <t>Valor sin IVA</t>
        </is>
      </c>
      <c r="L1" s="15" t="inlineStr">
        <is>
          <t>Tipo impuesto</t>
        </is>
      </c>
      <c r="M1" s="15" t="inlineStr">
        <is>
          <t>IVA</t>
        </is>
      </c>
      <c r="N1" s="15" t="inlineStr">
        <is>
          <t>Total con IVA</t>
        </is>
      </c>
      <c r="O1" s="15" t="inlineStr">
        <is>
          <t>Solicitó</t>
        </is>
      </c>
      <c r="P1" s="15" t="inlineStr">
        <is>
          <t>Proveedor</t>
        </is>
      </c>
      <c r="Q1" s="15" t="inlineStr">
        <is>
          <t>Tipo solicitud</t>
        </is>
      </c>
      <c r="R1" s="15" t="inlineStr">
        <is>
          <t>Tipo proyecto</t>
        </is>
      </c>
      <c r="S1" s="15" t="inlineStr">
        <is>
          <t>No factura</t>
        </is>
      </c>
      <c r="T1" s="15" t="inlineStr">
        <is>
          <t>Categoría de ítem</t>
        </is>
      </c>
    </row>
    <row r="2">
      <c r="A2" s="42" t="n">
        <v>46259.46641203704</v>
      </c>
      <c r="B2" s="16" t="n">
        <v>3975</v>
      </c>
      <c r="C2" s="16" t="n">
        <v>3083</v>
      </c>
      <c r="D2" s="16" t="inlineStr">
        <is>
          <t>CERRADA</t>
        </is>
      </c>
      <c r="E2" s="16" t="inlineStr">
        <is>
          <t>PAGADA</t>
        </is>
      </c>
      <c r="F2" s="16" t="inlineStr">
        <is>
          <t>Servicio</t>
        </is>
      </c>
      <c r="G2" s="16" t="inlineStr">
        <is>
          <t>Retie</t>
        </is>
      </c>
      <c r="H2" s="16" t="inlineStr">
        <is>
          <t>CORTE EN ACRILICO - UND</t>
        </is>
      </c>
      <c r="I2" s="43" t="n">
        <v>1</v>
      </c>
      <c r="J2" s="44" t="n">
        <v>1554400</v>
      </c>
      <c r="K2" s="44" t="n">
        <v>1554400</v>
      </c>
      <c r="L2" s="16" t="inlineStr"/>
      <c r="M2" s="44" t="n">
        <v>0</v>
      </c>
      <c r="N2" s="44">
        <f>K2+M2</f>
        <v/>
      </c>
      <c r="O2" s="16" t="inlineStr">
        <is>
          <t>LAURA SOFIA SALAS ROSERO</t>
        </is>
      </c>
      <c r="P2" s="16" t="inlineStr">
        <is>
          <t>ANGELICA MARIA AGREDA AGREDA</t>
        </is>
      </c>
      <c r="Q2" s="16" t="inlineStr">
        <is>
          <t>PLANEADA</t>
        </is>
      </c>
      <c r="R2" s="16" t="inlineStr">
        <is>
          <t>MINI GRANJAS</t>
        </is>
      </c>
      <c r="S2" s="16" t="inlineStr">
        <is>
          <t>FE1592</t>
        </is>
      </c>
      <c r="T2" s="16" t="inlineStr">
        <is>
          <t>Servicios de obra e ingeniería</t>
        </is>
      </c>
    </row>
    <row r="3">
      <c r="A3" s="45" t="n">
        <v>46259.4647800926</v>
      </c>
      <c r="B3" s="18" t="n">
        <v>3973</v>
      </c>
      <c r="C3" s="18" t="n">
        <v>3078</v>
      </c>
      <c r="D3" s="18" t="inlineStr">
        <is>
          <t>CERRADA</t>
        </is>
      </c>
      <c r="E3" s="18" t="inlineStr">
        <is>
          <t>PAGADA</t>
        </is>
      </c>
      <c r="F3" s="18" t="inlineStr">
        <is>
          <t>Servicio</t>
        </is>
      </c>
      <c r="G3" s="18" t="inlineStr">
        <is>
          <t>Retie</t>
        </is>
      </c>
      <c r="H3" s="18" t="inlineStr">
        <is>
          <t>CORTE EN ACRILICO - UND</t>
        </is>
      </c>
      <c r="I3" s="46" t="n">
        <v>1</v>
      </c>
      <c r="J3" s="47" t="n">
        <v>114000</v>
      </c>
      <c r="K3" s="47" t="n">
        <v>114000</v>
      </c>
      <c r="L3" s="18" t="inlineStr"/>
      <c r="M3" s="47" t="n">
        <v>0</v>
      </c>
      <c r="N3" s="47">
        <f>K3+M3</f>
        <v/>
      </c>
      <c r="O3" s="18" t="inlineStr">
        <is>
          <t>LAURA SOFIA SALAS ROSERO</t>
        </is>
      </c>
      <c r="P3" s="18" t="inlineStr">
        <is>
          <t>ANGELICA MARIA AGREDA AGREDA</t>
        </is>
      </c>
      <c r="Q3" s="18" t="inlineStr">
        <is>
          <t>PLANEADA</t>
        </is>
      </c>
      <c r="R3" s="18" t="inlineStr">
        <is>
          <t>MINI GRANJAS</t>
        </is>
      </c>
      <c r="S3" s="18" t="inlineStr">
        <is>
          <t>FE1607</t>
        </is>
      </c>
      <c r="T3" s="18" t="inlineStr">
        <is>
          <t>Servicios de obra e ingeniería</t>
        </is>
      </c>
    </row>
    <row r="4">
      <c r="A4" s="42" t="n">
        <v>46259.46447916667</v>
      </c>
      <c r="B4" s="16" t="n">
        <v>3972</v>
      </c>
      <c r="C4" s="16" t="n">
        <v>3075</v>
      </c>
      <c r="D4" s="16" t="inlineStr">
        <is>
          <t>CERRADA</t>
        </is>
      </c>
      <c r="E4" s="16" t="inlineStr">
        <is>
          <t>PAGADA</t>
        </is>
      </c>
      <c r="F4" s="16" t="inlineStr">
        <is>
          <t>Servicio</t>
        </is>
      </c>
      <c r="G4" s="16" t="inlineStr">
        <is>
          <t>Retie</t>
        </is>
      </c>
      <c r="H4" s="16" t="inlineStr">
        <is>
          <t>CORTE EN ACRILICO - UND</t>
        </is>
      </c>
      <c r="I4" s="43" t="n">
        <v>1</v>
      </c>
      <c r="J4" s="44" t="n">
        <v>178000</v>
      </c>
      <c r="K4" s="44" t="n">
        <v>178000</v>
      </c>
      <c r="L4" s="16" t="inlineStr"/>
      <c r="M4" s="44" t="n">
        <v>0</v>
      </c>
      <c r="N4" s="44">
        <f>K4+M4</f>
        <v/>
      </c>
      <c r="O4" s="16" t="inlineStr">
        <is>
          <t>LAURA SOFIA SALAS ROSERO</t>
        </is>
      </c>
      <c r="P4" s="16" t="inlineStr">
        <is>
          <t>ANGELICA MARIA AGREDA AGREDA</t>
        </is>
      </c>
      <c r="Q4" s="16" t="inlineStr">
        <is>
          <t>PLANEADA</t>
        </is>
      </c>
      <c r="R4" s="16" t="inlineStr">
        <is>
          <t>MINI GRANJAS</t>
        </is>
      </c>
      <c r="S4" s="16" t="inlineStr">
        <is>
          <t>FE1613</t>
        </is>
      </c>
      <c r="T4" s="16" t="inlineStr">
        <is>
          <t>Servicios de obra e ingeniería</t>
        </is>
      </c>
    </row>
    <row r="5">
      <c r="A5" s="45" t="n">
        <v>46258.51597222222</v>
      </c>
      <c r="B5" s="18" t="n">
        <v>3961</v>
      </c>
      <c r="C5" s="18" t="n">
        <v>3060</v>
      </c>
      <c r="D5" s="18" t="inlineStr">
        <is>
          <t>CERRADA</t>
        </is>
      </c>
      <c r="E5" s="18" t="inlineStr">
        <is>
          <t>PAGADA</t>
        </is>
      </c>
      <c r="F5" s="18" t="inlineStr">
        <is>
          <t>Servicio</t>
        </is>
      </c>
      <c r="G5" s="18" t="inlineStr">
        <is>
          <t>Retie</t>
        </is>
      </c>
      <c r="H5" s="18" t="inlineStr">
        <is>
          <t>CORTE EN ACRILICO - UND</t>
        </is>
      </c>
      <c r="I5" s="46" t="n">
        <v>1</v>
      </c>
      <c r="J5" s="47" t="n">
        <v>63400</v>
      </c>
      <c r="K5" s="47" t="n">
        <v>63400</v>
      </c>
      <c r="L5" s="18" t="inlineStr"/>
      <c r="M5" s="47" t="n">
        <v>0</v>
      </c>
      <c r="N5" s="47">
        <f>K5+M5</f>
        <v/>
      </c>
      <c r="O5" s="18" t="inlineStr">
        <is>
          <t>LAURA SOFIA SALAS ROSERO</t>
        </is>
      </c>
      <c r="P5" s="18" t="inlineStr">
        <is>
          <t>ANGELICA MARIA AGREDA AGREDA</t>
        </is>
      </c>
      <c r="Q5" s="18" t="inlineStr">
        <is>
          <t>PLANEADA</t>
        </is>
      </c>
      <c r="R5" s="18" t="inlineStr">
        <is>
          <t>MINI GRANJAS</t>
        </is>
      </c>
      <c r="S5" s="18" t="inlineStr">
        <is>
          <t>FACTURA ELECTRONICA DE VENTA FE 1632</t>
        </is>
      </c>
      <c r="T5" s="18" t="inlineStr">
        <is>
          <t>Servicios de obra e ingeniería</t>
        </is>
      </c>
    </row>
    <row r="6">
      <c r="A6" s="42" t="n">
        <v>46248.66899305556</v>
      </c>
      <c r="B6" s="16" t="n">
        <v>3866</v>
      </c>
      <c r="C6" s="16" t="n">
        <v>2986</v>
      </c>
      <c r="D6" s="16" t="inlineStr">
        <is>
          <t>CERRADA</t>
        </is>
      </c>
      <c r="E6" s="16" t="inlineStr">
        <is>
          <t>PAGADA</t>
        </is>
      </c>
      <c r="F6" s="16" t="inlineStr">
        <is>
          <t>Servicio</t>
        </is>
      </c>
      <c r="G6" s="16" t="inlineStr">
        <is>
          <t>Baños Portátiles</t>
        </is>
      </c>
      <c r="H6" s="16" t="inlineStr">
        <is>
          <t>ALQUILER DE BAÑO PORTATIL - UND</t>
        </is>
      </c>
      <c r="I6" s="43" t="n">
        <v>1</v>
      </c>
      <c r="J6" s="44" t="n">
        <v>1721600</v>
      </c>
      <c r="K6" s="44" t="n">
        <v>1721600</v>
      </c>
      <c r="L6" s="16" t="inlineStr"/>
      <c r="M6" s="44" t="n">
        <v>0</v>
      </c>
      <c r="N6" s="44">
        <f>K6+M6</f>
        <v/>
      </c>
      <c r="O6" s="16" t="inlineStr">
        <is>
          <t>LAURA SOFIA SALAS ROSERO</t>
        </is>
      </c>
      <c r="P6" s="16" t="inlineStr">
        <is>
          <t>HOOVER ANTONIO GUACHAVES LASSO</t>
        </is>
      </c>
      <c r="Q6" s="16" t="inlineStr">
        <is>
          <t>PLANEADA</t>
        </is>
      </c>
      <c r="R6" s="16" t="inlineStr">
        <is>
          <t>MINI GRANJAS</t>
        </is>
      </c>
      <c r="S6" s="16" t="inlineStr">
        <is>
          <t>Número de Factura: FEV-115</t>
        </is>
      </c>
      <c r="T6" s="16" t="inlineStr">
        <is>
          <t>Baños y sanitarios portátiles</t>
        </is>
      </c>
    </row>
    <row r="7">
      <c r="A7" s="45" t="n">
        <v>46248.66675925926</v>
      </c>
      <c r="B7" s="18" t="n">
        <v>3860</v>
      </c>
      <c r="C7" s="18" t="n">
        <v>2946</v>
      </c>
      <c r="D7" s="18" t="inlineStr">
        <is>
          <t>CERRADA</t>
        </is>
      </c>
      <c r="E7" s="18" t="inlineStr">
        <is>
          <t>CAUSADA</t>
        </is>
      </c>
      <c r="F7" s="18" t="inlineStr">
        <is>
          <t>Servicio</t>
        </is>
      </c>
      <c r="G7" s="18" t="inlineStr">
        <is>
          <t>Preparativos Previos Inicio De Obras</t>
        </is>
      </c>
      <c r="H7" s="18" t="inlineStr">
        <is>
          <t>EXAMEN PERIODICO - UND</t>
        </is>
      </c>
      <c r="I7" s="46" t="n">
        <v>1</v>
      </c>
      <c r="J7" s="47" t="n">
        <v>32000</v>
      </c>
      <c r="K7" s="47" t="n">
        <v>32000</v>
      </c>
      <c r="L7" s="18" t="inlineStr"/>
      <c r="M7" s="47" t="n">
        <v>0</v>
      </c>
      <c r="N7" s="47">
        <f>K7+M7</f>
        <v/>
      </c>
      <c r="O7" s="18" t="inlineStr">
        <is>
          <t>LAURA SOFIA SALAS ROSERO</t>
        </is>
      </c>
      <c r="P7" s="18" t="inlineStr">
        <is>
          <t>IPS BIENESTAR LABORAL SAS</t>
        </is>
      </c>
      <c r="Q7" s="18" t="inlineStr">
        <is>
          <t>URGENCIA</t>
        </is>
      </c>
      <c r="R7" s="18" t="inlineStr">
        <is>
          <t>MINI GRANJAS</t>
        </is>
      </c>
      <c r="S7" s="18" t="inlineStr">
        <is>
          <t>N 4417</t>
        </is>
      </c>
      <c r="T7" s="18" t="inlineStr">
        <is>
          <t>SST y exámenes médicos</t>
        </is>
      </c>
    </row>
    <row r="8">
      <c r="A8" s="42" t="n">
        <v>46237.45474537037</v>
      </c>
      <c r="B8" s="16" t="n">
        <v>3697</v>
      </c>
      <c r="C8" s="16" t="n">
        <v>2812</v>
      </c>
      <c r="D8" s="16" t="inlineStr">
        <is>
          <t>CERRADA</t>
        </is>
      </c>
      <c r="E8" s="16" t="inlineStr">
        <is>
          <t>PAGADA</t>
        </is>
      </c>
      <c r="F8" s="16" t="inlineStr">
        <is>
          <t>Servicio</t>
        </is>
      </c>
      <c r="G8" s="16" t="inlineStr">
        <is>
          <t>Logística Viáticos</t>
        </is>
      </c>
      <c r="H8" s="16" t="inlineStr">
        <is>
          <t>SERVICIO DE RESTAURANTE - UND</t>
        </is>
      </c>
      <c r="I8" s="43" t="n">
        <v>39</v>
      </c>
      <c r="J8" s="44" t="n">
        <v>10362.69</v>
      </c>
      <c r="K8" s="44" t="n">
        <v>404144.91</v>
      </c>
      <c r="L8" s="16" t="inlineStr"/>
      <c r="M8" s="44" t="n">
        <v>0</v>
      </c>
      <c r="N8" s="44">
        <f>K8+M8</f>
        <v/>
      </c>
      <c r="O8" s="16" t="inlineStr">
        <is>
          <t>LAURA SOFIA SALAS ROSERO</t>
        </is>
      </c>
      <c r="P8" s="16" t="inlineStr">
        <is>
          <t>MAYERLINE TOBAR GOMEZ</t>
        </is>
      </c>
      <c r="Q8" s="16" t="inlineStr">
        <is>
          <t>PLANEADA</t>
        </is>
      </c>
      <c r="R8" s="16" t="inlineStr">
        <is>
          <t>MINI GRANJAS</t>
        </is>
      </c>
      <c r="S8" s="16" t="inlineStr">
        <is>
          <t>FE 1876</t>
        </is>
      </c>
      <c r="T8" s="16" t="inlineStr">
        <is>
          <t>Viáticos - Alimentación</t>
        </is>
      </c>
    </row>
    <row r="9">
      <c r="A9" s="45" t="n">
        <v>46237.45474537037</v>
      </c>
      <c r="B9" s="18" t="n">
        <v>3697</v>
      </c>
      <c r="C9" s="18" t="n">
        <v>2812</v>
      </c>
      <c r="D9" s="18" t="inlineStr">
        <is>
          <t>CERRADA</t>
        </is>
      </c>
      <c r="E9" s="18" t="inlineStr">
        <is>
          <t>PAGADA</t>
        </is>
      </c>
      <c r="F9" s="18" t="inlineStr">
        <is>
          <t>Servicio</t>
        </is>
      </c>
      <c r="G9" s="18" t="inlineStr">
        <is>
          <t>Logística Viáticos</t>
        </is>
      </c>
      <c r="H9" s="18" t="inlineStr">
        <is>
          <t>SERVICIO DE RESTAURANTE - UND</t>
        </is>
      </c>
      <c r="I9" s="46" t="n">
        <v>69</v>
      </c>
      <c r="J9" s="47" t="n">
        <v>13471.51</v>
      </c>
      <c r="K9" s="47" t="n">
        <v>929534.1899999999</v>
      </c>
      <c r="L9" s="18" t="inlineStr"/>
      <c r="M9" s="47" t="n">
        <v>0</v>
      </c>
      <c r="N9" s="47">
        <f>K9+M9</f>
        <v/>
      </c>
      <c r="O9" s="18" t="inlineStr">
        <is>
          <t>LAURA SOFIA SALAS ROSERO</t>
        </is>
      </c>
      <c r="P9" s="18" t="inlineStr">
        <is>
          <t>MAYERLINE TOBAR GOMEZ</t>
        </is>
      </c>
      <c r="Q9" s="18" t="inlineStr">
        <is>
          <t>PLANEADA</t>
        </is>
      </c>
      <c r="R9" s="18" t="inlineStr">
        <is>
          <t>MINI GRANJAS</t>
        </is>
      </c>
      <c r="S9" s="18" t="inlineStr">
        <is>
          <t>FE 1876</t>
        </is>
      </c>
      <c r="T9" s="18" t="inlineStr">
        <is>
          <t>Viáticos - Alimentación</t>
        </is>
      </c>
    </row>
    <row r="10">
      <c r="A10" s="42" t="n">
        <v>46234.37559027778</v>
      </c>
      <c r="B10" s="16" t="n">
        <v>3672</v>
      </c>
      <c r="C10" s="16" t="n">
        <v>2747</v>
      </c>
      <c r="D10" s="16" t="inlineStr">
        <is>
          <t>CERRADA</t>
        </is>
      </c>
      <c r="E10" s="16" t="inlineStr">
        <is>
          <t>PAGADA</t>
        </is>
      </c>
      <c r="F10" s="16" t="inlineStr">
        <is>
          <t>Servicio</t>
        </is>
      </c>
      <c r="G10" s="16" t="inlineStr">
        <is>
          <t>Logística Viáticos</t>
        </is>
      </c>
      <c r="H10" s="16" t="inlineStr">
        <is>
          <t>SERVICIO DE HOTEL - UND</t>
        </is>
      </c>
      <c r="I10" s="43" t="n">
        <v>11</v>
      </c>
      <c r="J10" s="44" t="n">
        <v>36270</v>
      </c>
      <c r="K10" s="44" t="n">
        <v>398970</v>
      </c>
      <c r="L10" s="16" t="inlineStr"/>
      <c r="M10" s="44" t="n">
        <v>0</v>
      </c>
      <c r="N10" s="44">
        <f>K10+M10</f>
        <v/>
      </c>
      <c r="O10" s="16" t="inlineStr">
        <is>
          <t>LAURA SOFIA SALAS ROSERO</t>
        </is>
      </c>
      <c r="P10" s="16" t="inlineStr">
        <is>
          <t>MAYERLINE TOBAR GOMEZ</t>
        </is>
      </c>
      <c r="Q10" s="16" t="inlineStr">
        <is>
          <t>PLANEADA</t>
        </is>
      </c>
      <c r="R10" s="16" t="inlineStr">
        <is>
          <t>MINI GRANJAS</t>
        </is>
      </c>
      <c r="S10" s="16" t="inlineStr">
        <is>
          <t>FE 1884</t>
        </is>
      </c>
      <c r="T10" s="16" t="inlineStr">
        <is>
          <t>Viáticos - Hospedaje</t>
        </is>
      </c>
    </row>
    <row r="11">
      <c r="A11" s="45" t="n">
        <v>46234.37559027778</v>
      </c>
      <c r="B11" s="18" t="n">
        <v>3672</v>
      </c>
      <c r="C11" s="18" t="n">
        <v>2747</v>
      </c>
      <c r="D11" s="18" t="inlineStr">
        <is>
          <t>CERRADA</t>
        </is>
      </c>
      <c r="E11" s="18" t="inlineStr">
        <is>
          <t>PAGADA</t>
        </is>
      </c>
      <c r="F11" s="18" t="inlineStr">
        <is>
          <t>Servicio</t>
        </is>
      </c>
      <c r="G11" s="18" t="inlineStr">
        <is>
          <t>Logística Viáticos</t>
        </is>
      </c>
      <c r="H11" s="18" t="inlineStr">
        <is>
          <t>SERVICIO DE HOTEL - UND</t>
        </is>
      </c>
      <c r="I11" s="46" t="n">
        <v>1</v>
      </c>
      <c r="J11" s="47" t="n">
        <v>621762</v>
      </c>
      <c r="K11" s="47" t="n">
        <v>621762</v>
      </c>
      <c r="L11" s="18" t="inlineStr"/>
      <c r="M11" s="47" t="n">
        <v>0</v>
      </c>
      <c r="N11" s="47">
        <f>K11+M11</f>
        <v/>
      </c>
      <c r="O11" s="18" t="inlineStr">
        <is>
          <t>LAURA SOFIA SALAS ROSERO</t>
        </is>
      </c>
      <c r="P11" s="18" t="inlineStr">
        <is>
          <t>MAYERLINE TOBAR GOMEZ</t>
        </is>
      </c>
      <c r="Q11" s="18" t="inlineStr">
        <is>
          <t>PLANEADA</t>
        </is>
      </c>
      <c r="R11" s="18" t="inlineStr">
        <is>
          <t>MINI GRANJAS</t>
        </is>
      </c>
      <c r="S11" s="18" t="inlineStr">
        <is>
          <t>FE 1884</t>
        </is>
      </c>
      <c r="T11" s="18" t="inlineStr">
        <is>
          <t>Viáticos - Hospedaje</t>
        </is>
      </c>
    </row>
    <row r="12">
      <c r="A12" s="42" t="n">
        <v>46225.59571759259</v>
      </c>
      <c r="B12" s="16" t="n">
        <v>3556</v>
      </c>
      <c r="C12" s="16" t="n">
        <v>2705</v>
      </c>
      <c r="D12" s="16" t="inlineStr">
        <is>
          <t>CERRADA</t>
        </is>
      </c>
      <c r="E12" s="16" t="inlineStr">
        <is>
          <t>PAGADA</t>
        </is>
      </c>
      <c r="F12" s="16" t="inlineStr">
        <is>
          <t>Servicio</t>
        </is>
      </c>
      <c r="G12" s="16" t="inlineStr">
        <is>
          <t>Baños Portátiles</t>
        </is>
      </c>
      <c r="H12" s="16" t="inlineStr">
        <is>
          <t>ALQUILER DE BAÑO PORTATIL - UND</t>
        </is>
      </c>
      <c r="I12" s="43" t="n">
        <v>1</v>
      </c>
      <c r="J12" s="44" t="n">
        <v>1721600</v>
      </c>
      <c r="K12" s="44" t="n">
        <v>1721600</v>
      </c>
      <c r="L12" s="16" t="inlineStr"/>
      <c r="M12" s="44" t="n">
        <v>0</v>
      </c>
      <c r="N12" s="44">
        <f>K12+M12</f>
        <v/>
      </c>
      <c r="O12" s="16" t="inlineStr">
        <is>
          <t>LAURA SOFIA SALAS ROSERO</t>
        </is>
      </c>
      <c r="P12" s="16" t="inlineStr">
        <is>
          <t>HOOVER ANTONIO GUACHAVES LASSO</t>
        </is>
      </c>
      <c r="Q12" s="16" t="inlineStr">
        <is>
          <t>URGENCIA</t>
        </is>
      </c>
      <c r="R12" s="16" t="inlineStr">
        <is>
          <t>MINI GRANJAS</t>
        </is>
      </c>
      <c r="S12" s="16" t="inlineStr">
        <is>
          <t>FEV 101</t>
        </is>
      </c>
      <c r="T12" s="16" t="inlineStr">
        <is>
          <t>Baños y sanitarios portátiles</t>
        </is>
      </c>
    </row>
    <row r="13">
      <c r="A13" s="45" t="n">
        <v>46220.44166666667</v>
      </c>
      <c r="B13" s="18" t="n">
        <v>3533</v>
      </c>
      <c r="C13" s="18" t="n">
        <v>2673</v>
      </c>
      <c r="D13" s="18" t="inlineStr">
        <is>
          <t>CERRADA</t>
        </is>
      </c>
      <c r="E13" s="18" t="inlineStr">
        <is>
          <t>CAUSADA</t>
        </is>
      </c>
      <c r="F13" s="18" t="inlineStr">
        <is>
          <t>Servicio</t>
        </is>
      </c>
      <c r="G13" s="18" t="inlineStr">
        <is>
          <t>Set (Electrico)Servicio</t>
        </is>
      </c>
      <c r="H13" s="18" t="inlineStr">
        <is>
          <t>PRUEBAS DE RUTINA EN SITIO A SISTEMAS DE  MEDICION NIVEL 2 PARA TC´s Y TP´s - UND</t>
        </is>
      </c>
      <c r="I13" s="46" t="n">
        <v>1</v>
      </c>
      <c r="J13" s="47" t="n">
        <v>5880000</v>
      </c>
      <c r="K13" s="47" t="n">
        <v>5880000</v>
      </c>
      <c r="L13" s="18" t="inlineStr">
        <is>
          <t>IVA 19%</t>
        </is>
      </c>
      <c r="M13" s="47" t="n">
        <v>1117200</v>
      </c>
      <c r="N13" s="47">
        <f>K13+M13</f>
        <v/>
      </c>
      <c r="O13" s="18" t="inlineStr">
        <is>
          <t>LAURA SOFIA SALAS ROSERO</t>
        </is>
      </c>
      <c r="P13" s="18" t="inlineStr">
        <is>
          <t>NEGAWATT S.A.S</t>
        </is>
      </c>
      <c r="Q13" s="18" t="inlineStr">
        <is>
          <t>PLANEADA</t>
        </is>
      </c>
      <c r="R13" s="18" t="inlineStr">
        <is>
          <t>MINI GRANJAS</t>
        </is>
      </c>
      <c r="S13" s="18" t="inlineStr">
        <is>
          <t>COT-479</t>
        </is>
      </c>
      <c r="T13" s="18" t="inlineStr">
        <is>
          <t>RETIE / Legalización / Medición</t>
        </is>
      </c>
    </row>
    <row r="14">
      <c r="A14" s="42" t="n">
        <v>46211.6796412037</v>
      </c>
      <c r="B14" s="16" t="n">
        <v>3440</v>
      </c>
      <c r="C14" s="16" t="n">
        <v>2614</v>
      </c>
      <c r="D14" s="16" t="inlineStr">
        <is>
          <t>CERRADA</t>
        </is>
      </c>
      <c r="E14" s="16" t="inlineStr">
        <is>
          <t>PAGADA</t>
        </is>
      </c>
      <c r="F14" s="16" t="inlineStr">
        <is>
          <t>Servicio</t>
        </is>
      </c>
      <c r="G14" s="16" t="inlineStr">
        <is>
          <t>Logística Viáticos</t>
        </is>
      </c>
      <c r="H14" s="16" t="inlineStr">
        <is>
          <t>SERVICIO DE RESTAURANTE - UND</t>
        </is>
      </c>
      <c r="I14" s="43" t="n">
        <v>31</v>
      </c>
      <c r="J14" s="44" t="n">
        <v>10362.69</v>
      </c>
      <c r="K14" s="44" t="n">
        <v>321243.39</v>
      </c>
      <c r="L14" s="16" t="inlineStr"/>
      <c r="M14" s="44" t="n">
        <v>0</v>
      </c>
      <c r="N14" s="44">
        <f>K14+M14</f>
        <v/>
      </c>
      <c r="O14" s="16" t="inlineStr">
        <is>
          <t>LAURA SOFIA SALAS ROSERO</t>
        </is>
      </c>
      <c r="P14" s="16" t="inlineStr">
        <is>
          <t>MAYERLINE TOBAR GOMEZ</t>
        </is>
      </c>
      <c r="Q14" s="16" t="inlineStr">
        <is>
          <t>PLANEADA</t>
        </is>
      </c>
      <c r="R14" s="16" t="inlineStr">
        <is>
          <t>MINI GRANJAS</t>
        </is>
      </c>
      <c r="S14" s="16" t="inlineStr">
        <is>
          <t>FE1841</t>
        </is>
      </c>
      <c r="T14" s="16" t="inlineStr">
        <is>
          <t>Viáticos - Alimentación</t>
        </is>
      </c>
    </row>
    <row r="15">
      <c r="A15" s="45" t="n">
        <v>46211.6796412037</v>
      </c>
      <c r="B15" s="18" t="n">
        <v>3440</v>
      </c>
      <c r="C15" s="18" t="n">
        <v>2614</v>
      </c>
      <c r="D15" s="18" t="inlineStr">
        <is>
          <t>CERRADA</t>
        </is>
      </c>
      <c r="E15" s="18" t="inlineStr">
        <is>
          <t>PAGADA</t>
        </is>
      </c>
      <c r="F15" s="18" t="inlineStr">
        <is>
          <t>Servicio</t>
        </is>
      </c>
      <c r="G15" s="18" t="inlineStr">
        <is>
          <t>Logística Viáticos</t>
        </is>
      </c>
      <c r="H15" s="18" t="inlineStr">
        <is>
          <t>SERVICIO DE RESTAURANTE - UND</t>
        </is>
      </c>
      <c r="I15" s="46" t="n">
        <v>61</v>
      </c>
      <c r="J15" s="47" t="n">
        <v>13471.51</v>
      </c>
      <c r="K15" s="47" t="n">
        <v>821762.11</v>
      </c>
      <c r="L15" s="18" t="inlineStr"/>
      <c r="M15" s="47" t="n">
        <v>0</v>
      </c>
      <c r="N15" s="47">
        <f>K15+M15</f>
        <v/>
      </c>
      <c r="O15" s="18" t="inlineStr">
        <is>
          <t>LAURA SOFIA SALAS ROSERO</t>
        </is>
      </c>
      <c r="P15" s="18" t="inlineStr">
        <is>
          <t>MAYERLINE TOBAR GOMEZ</t>
        </is>
      </c>
      <c r="Q15" s="18" t="inlineStr">
        <is>
          <t>PLANEADA</t>
        </is>
      </c>
      <c r="R15" s="18" t="inlineStr">
        <is>
          <t>MINI GRANJAS</t>
        </is>
      </c>
      <c r="S15" s="18" t="inlineStr">
        <is>
          <t>FE1841</t>
        </is>
      </c>
      <c r="T15" s="18" t="inlineStr">
        <is>
          <t>Viáticos - Alimentación</t>
        </is>
      </c>
    </row>
    <row r="16">
      <c r="A16" s="42" t="n">
        <v>46205.4741087963</v>
      </c>
      <c r="B16" s="16" t="n">
        <v>3414</v>
      </c>
      <c r="C16" s="16" t="n">
        <v>2579</v>
      </c>
      <c r="D16" s="16" t="inlineStr">
        <is>
          <t>CERRADA</t>
        </is>
      </c>
      <c r="E16" s="16" t="inlineStr">
        <is>
          <t>PAGADA</t>
        </is>
      </c>
      <c r="F16" s="16" t="inlineStr">
        <is>
          <t>Servicio</t>
        </is>
      </c>
      <c r="G16" s="16" t="inlineStr">
        <is>
          <t>Logística Viáticos</t>
        </is>
      </c>
      <c r="H16" s="16" t="inlineStr">
        <is>
          <t>SERVICIO DE COMEDOR / RESTAURANTE - UND</t>
        </is>
      </c>
      <c r="I16" s="43" t="n">
        <v>36</v>
      </c>
      <c r="J16" s="44" t="n">
        <v>10362.69</v>
      </c>
      <c r="K16" s="44" t="n">
        <v>373056.84</v>
      </c>
      <c r="L16" s="16" t="inlineStr"/>
      <c r="M16" s="44" t="n">
        <v>0</v>
      </c>
      <c r="N16" s="44">
        <f>K16+M16</f>
        <v/>
      </c>
      <c r="O16" s="16" t="inlineStr">
        <is>
          <t>LAURA SOFIA SALAS ROSERO</t>
        </is>
      </c>
      <c r="P16" s="16" t="inlineStr">
        <is>
          <t>MAYERLINE TOBAR GOMEZ</t>
        </is>
      </c>
      <c r="Q16" s="16" t="inlineStr">
        <is>
          <t>PLANEADA</t>
        </is>
      </c>
      <c r="R16" s="16" t="inlineStr">
        <is>
          <t>MINI GRANJAS</t>
        </is>
      </c>
      <c r="S16" s="16" t="inlineStr">
        <is>
          <t>FE1818</t>
        </is>
      </c>
      <c r="T16" s="16" t="inlineStr">
        <is>
          <t>Viáticos - Alimentación</t>
        </is>
      </c>
    </row>
    <row r="17">
      <c r="A17" s="45" t="n">
        <v>46205.4741087963</v>
      </c>
      <c r="B17" s="18" t="n">
        <v>3414</v>
      </c>
      <c r="C17" s="18" t="n">
        <v>2579</v>
      </c>
      <c r="D17" s="18" t="inlineStr">
        <is>
          <t>CERRADA</t>
        </is>
      </c>
      <c r="E17" s="18" t="inlineStr">
        <is>
          <t>PAGADA</t>
        </is>
      </c>
      <c r="F17" s="18" t="inlineStr">
        <is>
          <t>Servicio</t>
        </is>
      </c>
      <c r="G17" s="18" t="inlineStr">
        <is>
          <t>Logística Viáticos</t>
        </is>
      </c>
      <c r="H17" s="18" t="inlineStr">
        <is>
          <t>SERVICIO DE RESTAURANTE - UND</t>
        </is>
      </c>
      <c r="I17" s="46" t="n">
        <v>70</v>
      </c>
      <c r="J17" s="47" t="n">
        <v>13471.51</v>
      </c>
      <c r="K17" s="47" t="n">
        <v>943005.7</v>
      </c>
      <c r="L17" s="18" t="inlineStr"/>
      <c r="M17" s="47" t="n">
        <v>0</v>
      </c>
      <c r="N17" s="47">
        <f>K17+M17</f>
        <v/>
      </c>
      <c r="O17" s="18" t="inlineStr">
        <is>
          <t>LAURA SOFIA SALAS ROSERO</t>
        </is>
      </c>
      <c r="P17" s="18" t="inlineStr">
        <is>
          <t>MAYERLINE TOBAR GOMEZ</t>
        </is>
      </c>
      <c r="Q17" s="18" t="inlineStr">
        <is>
          <t>PLANEADA</t>
        </is>
      </c>
      <c r="R17" s="18" t="inlineStr">
        <is>
          <t>MINI GRANJAS</t>
        </is>
      </c>
      <c r="S17" s="18" t="inlineStr">
        <is>
          <t>FE1818</t>
        </is>
      </c>
      <c r="T17" s="18" t="inlineStr">
        <is>
          <t>Viáticos - Alimentación</t>
        </is>
      </c>
    </row>
    <row r="18">
      <c r="A18" s="42" t="n">
        <v>46205.45506944445</v>
      </c>
      <c r="B18" s="16" t="n">
        <v>3409</v>
      </c>
      <c r="C18" s="16" t="n">
        <v>2581</v>
      </c>
      <c r="D18" s="16" t="inlineStr">
        <is>
          <t>CERRADA</t>
        </is>
      </c>
      <c r="E18" s="16" t="inlineStr">
        <is>
          <t>PAGADA</t>
        </is>
      </c>
      <c r="F18" s="16" t="inlineStr">
        <is>
          <t>Servicio</t>
        </is>
      </c>
      <c r="G18" s="16" t="inlineStr">
        <is>
          <t>Logística Viáticos</t>
        </is>
      </c>
      <c r="H18" s="16" t="inlineStr">
        <is>
          <t>SERVICIO DE HOTEL - UND</t>
        </is>
      </c>
      <c r="I18" s="43" t="n">
        <v>3</v>
      </c>
      <c r="J18" s="44" t="n">
        <v>518134.72</v>
      </c>
      <c r="K18" s="44" t="n">
        <v>1554404.16</v>
      </c>
      <c r="L18" s="16" t="inlineStr"/>
      <c r="M18" s="44" t="n">
        <v>0</v>
      </c>
      <c r="N18" s="44">
        <f>K18+M18</f>
        <v/>
      </c>
      <c r="O18" s="16" t="inlineStr">
        <is>
          <t>LAURA SOFIA SALAS ROSERO</t>
        </is>
      </c>
      <c r="P18" s="16" t="inlineStr">
        <is>
          <t>MAYERLINE TOBAR GOMEZ</t>
        </is>
      </c>
      <c r="Q18" s="16" t="inlineStr">
        <is>
          <t>PLANEADA</t>
        </is>
      </c>
      <c r="R18" s="16" t="inlineStr">
        <is>
          <t>MINI GRANJAS</t>
        </is>
      </c>
      <c r="S18" s="16" t="inlineStr">
        <is>
          <t>FE1832</t>
        </is>
      </c>
      <c r="T18" s="16" t="inlineStr">
        <is>
          <t>Viáticos - Hospedaje</t>
        </is>
      </c>
    </row>
    <row r="19">
      <c r="A19" s="45" t="n">
        <v>46192.38934027778</v>
      </c>
      <c r="B19" s="18" t="n">
        <v>3330</v>
      </c>
      <c r="C19" s="18" t="n">
        <v>2502</v>
      </c>
      <c r="D19" s="18" t="inlineStr">
        <is>
          <t>CERRADA</t>
        </is>
      </c>
      <c r="E19" s="18" t="inlineStr">
        <is>
          <t>PAGADA</t>
        </is>
      </c>
      <c r="F19" s="18" t="inlineStr">
        <is>
          <t>C. Canalizaciones</t>
        </is>
      </c>
      <c r="G19" s="18" t="inlineStr">
        <is>
          <t>Instalación De Tuberías Ac, Dc Y Tierra</t>
        </is>
      </c>
      <c r="H19" s="18" t="inlineStr">
        <is>
          <t>CURVA 1" PVC NACIONAL CONDUIT (90°/1 CAMPANA)- TUBOSA/IMEC 1302-160807 - UND</t>
        </is>
      </c>
      <c r="I19" s="46" t="n">
        <v>30</v>
      </c>
      <c r="J19" s="47" t="n">
        <v>1058.7</v>
      </c>
      <c r="K19" s="47" t="n">
        <v>31761</v>
      </c>
      <c r="L19" s="18" t="inlineStr">
        <is>
          <t>IVA 19%</t>
        </is>
      </c>
      <c r="M19" s="47" t="n">
        <v>6034</v>
      </c>
      <c r="N19" s="47">
        <f>K19+M19</f>
        <v/>
      </c>
      <c r="O19" s="18" t="inlineStr">
        <is>
          <t>LAURA SOFIA SALAS ROSERO</t>
        </is>
      </c>
      <c r="P19" s="18" t="inlineStr">
        <is>
          <t>ELECTRICOS DEL VALLE SAS</t>
        </is>
      </c>
      <c r="Q19" s="18" t="inlineStr">
        <is>
          <t>EMERGENCIA</t>
        </is>
      </c>
      <c r="R19" s="18" t="inlineStr">
        <is>
          <t>MINI GRANJAS</t>
        </is>
      </c>
      <c r="S19" s="18" t="inlineStr">
        <is>
          <t>EPE25355</t>
        </is>
      </c>
      <c r="T19" s="18" t="inlineStr">
        <is>
          <t>Canalización y tubería</t>
        </is>
      </c>
    </row>
    <row r="20">
      <c r="A20" s="42" t="n">
        <v>46192.38934027778</v>
      </c>
      <c r="B20" s="16" t="n">
        <v>3330</v>
      </c>
      <c r="C20" s="16" t="n">
        <v>2502</v>
      </c>
      <c r="D20" s="16" t="inlineStr">
        <is>
          <t>CERRADA</t>
        </is>
      </c>
      <c r="E20" s="16" t="inlineStr">
        <is>
          <t>PAGADA</t>
        </is>
      </c>
      <c r="F20" s="16" t="inlineStr">
        <is>
          <t>C. Canalizaciones</t>
        </is>
      </c>
      <c r="G20" s="16" t="inlineStr">
        <is>
          <t>Instalación De Tuberías Ac, Dc Y Tierra</t>
        </is>
      </c>
      <c r="H20" s="16" t="inlineStr">
        <is>
          <t>CAPACETE 1" IMC GALVANIZADO E.V SOLUTIONS - UND</t>
        </is>
      </c>
      <c r="I20" s="43" t="n">
        <v>8</v>
      </c>
      <c r="J20" s="44" t="n">
        <v>3645.1</v>
      </c>
      <c r="K20" s="44" t="n">
        <v>29160.8</v>
      </c>
      <c r="L20" s="16" t="inlineStr">
        <is>
          <t>IVA 19%</t>
        </is>
      </c>
      <c r="M20" s="44" t="n">
        <v>5540</v>
      </c>
      <c r="N20" s="44">
        <f>K20+M20</f>
        <v/>
      </c>
      <c r="O20" s="16" t="inlineStr">
        <is>
          <t>LAURA SOFIA SALAS ROSERO</t>
        </is>
      </c>
      <c r="P20" s="16" t="inlineStr">
        <is>
          <t>ELECTRICOS DEL VALLE SAS</t>
        </is>
      </c>
      <c r="Q20" s="16" t="inlineStr">
        <is>
          <t>EMERGENCIA</t>
        </is>
      </c>
      <c r="R20" s="16" t="inlineStr">
        <is>
          <t>MINI GRANJAS</t>
        </is>
      </c>
      <c r="S20" s="16" t="inlineStr">
        <is>
          <t>EPE25355</t>
        </is>
      </c>
      <c r="T20" s="16" t="inlineStr">
        <is>
          <t>Otros / sin clasificar</t>
        </is>
      </c>
    </row>
    <row r="21">
      <c r="A21" s="45" t="n">
        <v>46192.38934027778</v>
      </c>
      <c r="B21" s="18" t="n">
        <v>3330</v>
      </c>
      <c r="C21" s="18" t="n">
        <v>2502</v>
      </c>
      <c r="D21" s="18" t="inlineStr">
        <is>
          <t>CERRADA</t>
        </is>
      </c>
      <c r="E21" s="18" t="inlineStr">
        <is>
          <t>PAGADA</t>
        </is>
      </c>
      <c r="F21" s="18" t="inlineStr">
        <is>
          <t>C. Canalizaciones</t>
        </is>
      </c>
      <c r="G21" s="18" t="inlineStr">
        <is>
          <t>Instalación De Tuberías Ac, Dc Y Tierra</t>
        </is>
      </c>
      <c r="H21" s="18" t="inlineStr">
        <is>
          <t>TUBO 1" PVC COUNDUIT 3 MTS 1302-160905 - UND</t>
        </is>
      </c>
      <c r="I21" s="46" t="n">
        <v>110</v>
      </c>
      <c r="J21" s="47" t="n">
        <v>5840.4</v>
      </c>
      <c r="K21" s="47" t="n">
        <v>642444</v>
      </c>
      <c r="L21" s="18" t="inlineStr">
        <is>
          <t>IVA 19%</t>
        </is>
      </c>
      <c r="M21" s="47" t="n">
        <v>122064</v>
      </c>
      <c r="N21" s="47">
        <f>K21+M21</f>
        <v/>
      </c>
      <c r="O21" s="18" t="inlineStr">
        <is>
          <t>LAURA SOFIA SALAS ROSERO</t>
        </is>
      </c>
      <c r="P21" s="18" t="inlineStr">
        <is>
          <t>ELECTRICOS DEL VALLE SAS</t>
        </is>
      </c>
      <c r="Q21" s="18" t="inlineStr">
        <is>
          <t>EMERGENCIA</t>
        </is>
      </c>
      <c r="R21" s="18" t="inlineStr">
        <is>
          <t>MINI GRANJAS</t>
        </is>
      </c>
      <c r="S21" s="18" t="inlineStr">
        <is>
          <t>EPE25355</t>
        </is>
      </c>
      <c r="T21" s="18" t="inlineStr">
        <is>
          <t>Canalización y tubería</t>
        </is>
      </c>
    </row>
    <row r="22">
      <c r="A22" s="42" t="n">
        <v>46192.38934027778</v>
      </c>
      <c r="B22" s="16" t="n">
        <v>3330</v>
      </c>
      <c r="C22" s="16" t="n">
        <v>2502</v>
      </c>
      <c r="D22" s="16" t="inlineStr">
        <is>
          <t>CERRADA</t>
        </is>
      </c>
      <c r="E22" s="16" t="inlineStr">
        <is>
          <t>PAGADA</t>
        </is>
      </c>
      <c r="F22" s="16" t="inlineStr">
        <is>
          <t>C. Canalizaciones</t>
        </is>
      </c>
      <c r="G22" s="16" t="inlineStr">
        <is>
          <t>Instalación De Tuberías Ac, Dc Y Tierra</t>
        </is>
      </c>
      <c r="H22" s="16" t="inlineStr">
        <is>
          <t>TUBO 1" IMC GALV 3MTS 1301-160693 - UND</t>
        </is>
      </c>
      <c r="I22" s="43" t="n">
        <v>8</v>
      </c>
      <c r="J22" s="44" t="n">
        <v>29341.6</v>
      </c>
      <c r="K22" s="44" t="n">
        <v>234732.8</v>
      </c>
      <c r="L22" s="16" t="inlineStr">
        <is>
          <t>IVA 19%</t>
        </is>
      </c>
      <c r="M22" s="44" t="n">
        <v>44599</v>
      </c>
      <c r="N22" s="44">
        <f>K22+M22</f>
        <v/>
      </c>
      <c r="O22" s="16" t="inlineStr">
        <is>
          <t>LAURA SOFIA SALAS ROSERO</t>
        </is>
      </c>
      <c r="P22" s="16" t="inlineStr">
        <is>
          <t>ELECTRICOS DEL VALLE SAS</t>
        </is>
      </c>
      <c r="Q22" s="16" t="inlineStr">
        <is>
          <t>EMERGENCIA</t>
        </is>
      </c>
      <c r="R22" s="16" t="inlineStr">
        <is>
          <t>MINI GRANJAS</t>
        </is>
      </c>
      <c r="S22" s="16" t="inlineStr">
        <is>
          <t>EPE25355</t>
        </is>
      </c>
      <c r="T22" s="16" t="inlineStr">
        <is>
          <t>Canalización y tubería</t>
        </is>
      </c>
    </row>
    <row r="23">
      <c r="A23" s="45" t="n">
        <v>46183.51974537037</v>
      </c>
      <c r="B23" s="18" t="n">
        <v>3242</v>
      </c>
      <c r="C23" s="18" t="n">
        <v>2449</v>
      </c>
      <c r="D23" s="18" t="inlineStr">
        <is>
          <t>CERRADA</t>
        </is>
      </c>
      <c r="E23" s="18" t="inlineStr">
        <is>
          <t>PAGADA</t>
        </is>
      </c>
      <c r="F23" s="18" t="inlineStr">
        <is>
          <t>Montaje Eléctrico</t>
        </is>
      </c>
      <c r="G23" s="18" t="inlineStr">
        <is>
          <t>Set (Electrico)Servicio</t>
        </is>
      </c>
      <c r="H23" s="18" t="inlineStr">
        <is>
          <t>DESCARGUE E INSTALACION DE CELDAS PARA TRANSFORMADORES MAS SERVICIO DE GRUA - UND</t>
        </is>
      </c>
      <c r="I23" s="46" t="n">
        <v>1</v>
      </c>
      <c r="J23" s="47" t="n">
        <v>1528000</v>
      </c>
      <c r="K23" s="47" t="n">
        <v>1528000</v>
      </c>
      <c r="L23" s="18" t="inlineStr"/>
      <c r="M23" s="47" t="n">
        <v>0</v>
      </c>
      <c r="N23" s="47">
        <f>K23+M23</f>
        <v/>
      </c>
      <c r="O23" s="18" t="inlineStr">
        <is>
          <t>LAURA SOFIA SALAS ROSERO</t>
        </is>
      </c>
      <c r="P23" s="18" t="inlineStr">
        <is>
          <t>JOHN JAIRO CHAPAL ESTACIO</t>
        </is>
      </c>
      <c r="Q23" s="18" t="inlineStr">
        <is>
          <t>PLANEADA</t>
        </is>
      </c>
      <c r="R23" s="18" t="inlineStr">
        <is>
          <t>MINI GRANJAS</t>
        </is>
      </c>
      <c r="S23" s="18" t="inlineStr">
        <is>
          <t>FE-820</t>
        </is>
      </c>
      <c r="T23" s="18" t="inlineStr">
        <is>
          <t>Fletes y transporte de carga</t>
        </is>
      </c>
    </row>
    <row r="24">
      <c r="A24" s="42" t="n">
        <v>46183.51821759259</v>
      </c>
      <c r="B24" s="16" t="n">
        <v>3238</v>
      </c>
      <c r="C24" s="16" t="n">
        <v>2419</v>
      </c>
      <c r="D24" s="16" t="inlineStr">
        <is>
          <t>CERRADA</t>
        </is>
      </c>
      <c r="E24" s="16" t="inlineStr">
        <is>
          <t>PAGADA</t>
        </is>
      </c>
      <c r="F24" s="16" t="inlineStr">
        <is>
          <t>Servicio</t>
        </is>
      </c>
      <c r="G24" s="16" t="inlineStr">
        <is>
          <t>Logística Viáticos</t>
        </is>
      </c>
      <c r="H24" s="16" t="inlineStr">
        <is>
          <t>SERVICIO DE RESTAURANTE - UND</t>
        </is>
      </c>
      <c r="I24" s="43" t="n">
        <v>45</v>
      </c>
      <c r="J24" s="44" t="n">
        <v>10362.69</v>
      </c>
      <c r="K24" s="44" t="n">
        <v>466321.05</v>
      </c>
      <c r="L24" s="16" t="inlineStr"/>
      <c r="M24" s="44" t="n">
        <v>0</v>
      </c>
      <c r="N24" s="44">
        <f>K24+M24</f>
        <v/>
      </c>
      <c r="O24" s="16" t="inlineStr">
        <is>
          <t>LAURA SOFIA SALAS ROSERO</t>
        </is>
      </c>
      <c r="P24" s="16" t="inlineStr">
        <is>
          <t>MAYERLINE TOBAR GOMEZ</t>
        </is>
      </c>
      <c r="Q24" s="16" t="inlineStr">
        <is>
          <t>PLANEADA</t>
        </is>
      </c>
      <c r="R24" s="16" t="inlineStr">
        <is>
          <t>MINI GRANJAS</t>
        </is>
      </c>
      <c r="S24" s="16" t="inlineStr">
        <is>
          <t>1781</t>
        </is>
      </c>
      <c r="T24" s="16" t="inlineStr">
        <is>
          <t>Viáticos - Alimentación</t>
        </is>
      </c>
    </row>
    <row r="25">
      <c r="A25" s="45" t="n">
        <v>46183.51821759259</v>
      </c>
      <c r="B25" s="18" t="n">
        <v>3238</v>
      </c>
      <c r="C25" s="18" t="n">
        <v>2419</v>
      </c>
      <c r="D25" s="18" t="inlineStr">
        <is>
          <t>CERRADA</t>
        </is>
      </c>
      <c r="E25" s="18" t="inlineStr">
        <is>
          <t>PAGADA</t>
        </is>
      </c>
      <c r="F25" s="18" t="inlineStr">
        <is>
          <t>Servicio</t>
        </is>
      </c>
      <c r="G25" s="18" t="inlineStr">
        <is>
          <t>Logística Viáticos</t>
        </is>
      </c>
      <c r="H25" s="18" t="inlineStr">
        <is>
          <t>SERVICIO DE RESTAURANTE - UND</t>
        </is>
      </c>
      <c r="I25" s="46" t="n">
        <v>83</v>
      </c>
      <c r="J25" s="47" t="n">
        <v>13471.51</v>
      </c>
      <c r="K25" s="47" t="n">
        <v>1118135.33</v>
      </c>
      <c r="L25" s="18" t="inlineStr"/>
      <c r="M25" s="47" t="n">
        <v>0</v>
      </c>
      <c r="N25" s="47">
        <f>K25+M25</f>
        <v/>
      </c>
      <c r="O25" s="18" t="inlineStr">
        <is>
          <t>LAURA SOFIA SALAS ROSERO</t>
        </is>
      </c>
      <c r="P25" s="18" t="inlineStr">
        <is>
          <t>MAYERLINE TOBAR GOMEZ</t>
        </is>
      </c>
      <c r="Q25" s="18" t="inlineStr">
        <is>
          <t>PLANEADA</t>
        </is>
      </c>
      <c r="R25" s="18" t="inlineStr">
        <is>
          <t>MINI GRANJAS</t>
        </is>
      </c>
      <c r="S25" s="18" t="inlineStr">
        <is>
          <t>1781</t>
        </is>
      </c>
      <c r="T25" s="18" t="inlineStr">
        <is>
          <t>Viáticos - Alimentación</t>
        </is>
      </c>
    </row>
    <row r="26">
      <c r="A26" s="42" t="n">
        <v>46183.51793981482</v>
      </c>
      <c r="B26" s="16" t="n">
        <v>3237</v>
      </c>
      <c r="C26" s="16" t="n">
        <v>2421</v>
      </c>
      <c r="D26" s="16" t="inlineStr">
        <is>
          <t>CERRADA</t>
        </is>
      </c>
      <c r="E26" s="16" t="inlineStr">
        <is>
          <t>PAGADA</t>
        </is>
      </c>
      <c r="F26" s="16" t="inlineStr">
        <is>
          <t>Set (Civil) Suministro</t>
        </is>
      </c>
      <c r="G26" s="16" t="inlineStr">
        <is>
          <t>Set (Civil) Servicio</t>
        </is>
      </c>
      <c r="H26" s="16" t="inlineStr">
        <is>
          <t>RECEBO - M3</t>
        </is>
      </c>
      <c r="I26" s="43" t="n">
        <v>14</v>
      </c>
      <c r="J26" s="44" t="n">
        <v>85000</v>
      </c>
      <c r="K26" s="44" t="n">
        <v>1190000</v>
      </c>
      <c r="L26" s="16" t="inlineStr"/>
      <c r="M26" s="44" t="n">
        <v>0</v>
      </c>
      <c r="N26" s="44">
        <f>K26+M26</f>
        <v/>
      </c>
      <c r="O26" s="16" t="inlineStr">
        <is>
          <t>LAURA SOFIA SALAS ROSERO</t>
        </is>
      </c>
      <c r="P26" s="16" t="inlineStr">
        <is>
          <t>CAMPO HELMER PORTILLO PORTILLA</t>
        </is>
      </c>
      <c r="Q26" s="16" t="inlineStr">
        <is>
          <t>PLANEADA</t>
        </is>
      </c>
      <c r="R26" s="16" t="inlineStr">
        <is>
          <t>MINI GRANJAS</t>
        </is>
      </c>
      <c r="S26" s="16" t="inlineStr">
        <is>
          <t>0255</t>
        </is>
      </c>
      <c r="T26" s="16" t="inlineStr">
        <is>
          <t>Obra civil (concreto, agregados)</t>
        </is>
      </c>
    </row>
    <row r="27">
      <c r="A27" s="45" t="n">
        <v>46183.51793981482</v>
      </c>
      <c r="B27" s="18" t="n">
        <v>3237</v>
      </c>
      <c r="C27" s="18" t="n">
        <v>2421</v>
      </c>
      <c r="D27" s="18" t="inlineStr">
        <is>
          <t>CERRADA</t>
        </is>
      </c>
      <c r="E27" s="18" t="inlineStr">
        <is>
          <t>PAGADA</t>
        </is>
      </c>
      <c r="F27" s="18" t="inlineStr">
        <is>
          <t>Servicio</t>
        </is>
      </c>
      <c r="G27" s="18" t="inlineStr">
        <is>
          <t>Preparativos Previos Inicio De Obras</t>
        </is>
      </c>
      <c r="H27" s="18" t="inlineStr">
        <is>
          <t>ARENA DE RIO METRO CUBICO - UND</t>
        </is>
      </c>
      <c r="I27" s="46" t="n">
        <v>7</v>
      </c>
      <c r="J27" s="47" t="n">
        <v>90000</v>
      </c>
      <c r="K27" s="47" t="n">
        <v>630000</v>
      </c>
      <c r="L27" s="18" t="inlineStr"/>
      <c r="M27" s="47" t="n">
        <v>0</v>
      </c>
      <c r="N27" s="47">
        <f>K27+M27</f>
        <v/>
      </c>
      <c r="O27" s="18" t="inlineStr">
        <is>
          <t>LAURA SOFIA SALAS ROSERO</t>
        </is>
      </c>
      <c r="P27" s="18" t="inlineStr">
        <is>
          <t>CAMPO HELMER PORTILLO PORTILLA</t>
        </is>
      </c>
      <c r="Q27" s="18" t="inlineStr">
        <is>
          <t>PLANEADA</t>
        </is>
      </c>
      <c r="R27" s="18" t="inlineStr">
        <is>
          <t>MINI GRANJAS</t>
        </is>
      </c>
      <c r="S27" s="18" t="inlineStr">
        <is>
          <t>0255</t>
        </is>
      </c>
      <c r="T27" s="18" t="inlineStr">
        <is>
          <t>Obra civil (concreto, agregados)</t>
        </is>
      </c>
    </row>
    <row r="28">
      <c r="A28" s="42" t="n">
        <v>46178.44070601852</v>
      </c>
      <c r="B28" s="16" t="n">
        <v>3190</v>
      </c>
      <c r="C28" s="16" t="n">
        <v>2385</v>
      </c>
      <c r="D28" s="16" t="inlineStr">
        <is>
          <t>CERRADA</t>
        </is>
      </c>
      <c r="E28" s="16" t="inlineStr">
        <is>
          <t>PAGADA</t>
        </is>
      </c>
      <c r="F28" s="16" t="inlineStr">
        <is>
          <t>Servicio</t>
        </is>
      </c>
      <c r="G28" s="16" t="inlineStr">
        <is>
          <t>Logística Viáticos</t>
        </is>
      </c>
      <c r="H28" s="16" t="inlineStr">
        <is>
          <t>SERVICIO DE HOTEL - UND</t>
        </is>
      </c>
      <c r="I28" s="43" t="n">
        <v>3</v>
      </c>
      <c r="J28" s="44" t="n">
        <v>518135</v>
      </c>
      <c r="K28" s="44" t="n">
        <v>1554405</v>
      </c>
      <c r="L28" s="16" t="inlineStr"/>
      <c r="M28" s="44" t="n">
        <v>0</v>
      </c>
      <c r="N28" s="44">
        <f>K28+M28</f>
        <v/>
      </c>
      <c r="O28" s="16" t="inlineStr">
        <is>
          <t>LAURA SOFIA SALAS ROSERO</t>
        </is>
      </c>
      <c r="P28" s="16" t="inlineStr">
        <is>
          <t>MAYERLINE TOBAR GOMEZ</t>
        </is>
      </c>
      <c r="Q28" s="16" t="inlineStr">
        <is>
          <t>PLANEADA</t>
        </is>
      </c>
      <c r="R28" s="16" t="inlineStr">
        <is>
          <t>MINI GRANJAS</t>
        </is>
      </c>
      <c r="S28" s="16" t="inlineStr">
        <is>
          <t>1744</t>
        </is>
      </c>
      <c r="T28" s="16" t="inlineStr">
        <is>
          <t>Viáticos - Hospedaje</t>
        </is>
      </c>
    </row>
    <row r="29">
      <c r="A29" s="45" t="n">
        <v>46170.62881944444</v>
      </c>
      <c r="B29" s="18" t="n">
        <v>3128</v>
      </c>
      <c r="C29" s="18" t="n">
        <v>2331</v>
      </c>
      <c r="D29" s="18" t="inlineStr">
        <is>
          <t>GENERADA</t>
        </is>
      </c>
      <c r="E29" s="18" t="inlineStr">
        <is>
          <t>PENDIENTE</t>
        </is>
      </c>
      <c r="F29" s="18" t="inlineStr">
        <is>
          <t>Set (Electrico) Suministro</t>
        </is>
      </c>
      <c r="G29" s="18" t="inlineStr">
        <is>
          <t>Set (Electrico)Servicio</t>
        </is>
      </c>
      <c r="H29" s="18" t="inlineStr">
        <is>
          <t>SERVICIO DE TRANSPORTE - UND</t>
        </is>
      </c>
      <c r="I29" s="46" t="n">
        <v>1</v>
      </c>
      <c r="J29" s="47" t="n">
        <v>16806</v>
      </c>
      <c r="K29" s="47" t="n">
        <v>16806</v>
      </c>
      <c r="L29" s="18" t="inlineStr">
        <is>
          <t>IVA 19%</t>
        </is>
      </c>
      <c r="M29" s="47" t="n">
        <v>3193</v>
      </c>
      <c r="N29" s="47">
        <f>K29+M29</f>
        <v/>
      </c>
      <c r="O29" s="18" t="inlineStr">
        <is>
          <t>LAURA SOFIA SALAS ROSERO</t>
        </is>
      </c>
      <c r="P29" s="18" t="inlineStr">
        <is>
          <t>HUMBERTO JAVIER ROSERO POTOSI</t>
        </is>
      </c>
      <c r="Q29" s="18" t="inlineStr">
        <is>
          <t>PLANEADA</t>
        </is>
      </c>
      <c r="R29" s="18" t="inlineStr">
        <is>
          <t>MINI GRANJAS</t>
        </is>
      </c>
      <c r="S29" s="18" t="inlineStr"/>
      <c r="T29" s="18" t="inlineStr">
        <is>
          <t>Viáticos - Transporte</t>
        </is>
      </c>
    </row>
    <row r="30">
      <c r="A30" s="42" t="n">
        <v>46170.62881944444</v>
      </c>
      <c r="B30" s="16" t="n">
        <v>3128</v>
      </c>
      <c r="C30" s="16" t="n">
        <v>2331</v>
      </c>
      <c r="D30" s="16" t="inlineStr">
        <is>
          <t>GENERADA</t>
        </is>
      </c>
      <c r="E30" s="16" t="inlineStr">
        <is>
          <t>PENDIENTE</t>
        </is>
      </c>
      <c r="F30" s="16" t="inlineStr">
        <is>
          <t>Set (Electrico) Suministro</t>
        </is>
      </c>
      <c r="G30" s="16" t="inlineStr">
        <is>
          <t>Set (Electrico)Servicio</t>
        </is>
      </c>
      <c r="H30" s="16" t="inlineStr">
        <is>
          <t>SUMINISTRO DE TAPA METÁLICA DE 0.25 X 0.28 MTS PARA CAJA DE INSPECCIÓN EN LÁMINA ALFAJOR DE 2.5MM, ANGULO DE 1 1/2X3/16, PINTURA ANTICORROSIVA Y ESMALTE. - UND</t>
        </is>
      </c>
      <c r="I30" s="43" t="n">
        <v>2</v>
      </c>
      <c r="J30" s="44" t="n">
        <v>96639</v>
      </c>
      <c r="K30" s="44" t="n">
        <v>193278</v>
      </c>
      <c r="L30" s="16" t="inlineStr">
        <is>
          <t>IVA 19%</t>
        </is>
      </c>
      <c r="M30" s="44" t="n">
        <v>36722</v>
      </c>
      <c r="N30" s="44">
        <f>K30+M30</f>
        <v/>
      </c>
      <c r="O30" s="16" t="inlineStr">
        <is>
          <t>LAURA SOFIA SALAS ROSERO</t>
        </is>
      </c>
      <c r="P30" s="16" t="inlineStr">
        <is>
          <t>HUMBERTO JAVIER ROSERO POTOSI</t>
        </is>
      </c>
      <c r="Q30" s="16" t="inlineStr">
        <is>
          <t>PLANEADA</t>
        </is>
      </c>
      <c r="R30" s="16" t="inlineStr">
        <is>
          <t>MINI GRANJAS</t>
        </is>
      </c>
      <c r="S30" s="16" t="inlineStr"/>
      <c r="T30" s="16" t="inlineStr">
        <is>
          <t>RETIE / Legalización / Medición</t>
        </is>
      </c>
    </row>
    <row r="31">
      <c r="A31" s="45" t="n">
        <v>46170.62777777778</v>
      </c>
      <c r="B31" s="18" t="n">
        <v>3127</v>
      </c>
      <c r="C31" s="18" t="n">
        <v>2348</v>
      </c>
      <c r="D31" s="18" t="inlineStr">
        <is>
          <t>CERRADA</t>
        </is>
      </c>
      <c r="E31" s="18" t="inlineStr">
        <is>
          <t>CAUSADA</t>
        </is>
      </c>
      <c r="F31" s="18" t="inlineStr">
        <is>
          <t>Cajas De Paso</t>
        </is>
      </c>
      <c r="G31" s="18" t="inlineStr">
        <is>
          <t>Transportes</t>
        </is>
      </c>
      <c r="H31" s="18" t="inlineStr">
        <is>
          <t>SERVICIO DE TRANSPORTE - UND</t>
        </is>
      </c>
      <c r="I31" s="46" t="n">
        <v>1</v>
      </c>
      <c r="J31" s="47" t="n">
        <v>50000</v>
      </c>
      <c r="K31" s="47" t="n">
        <v>50000</v>
      </c>
      <c r="L31" s="18" t="inlineStr"/>
      <c r="M31" s="47" t="n">
        <v>0</v>
      </c>
      <c r="N31" s="47">
        <f>K31+M31</f>
        <v/>
      </c>
      <c r="O31" s="18" t="inlineStr">
        <is>
          <t>LAURA SOFIA SALAS ROSERO</t>
        </is>
      </c>
      <c r="P31" s="18" t="inlineStr">
        <is>
          <t>HUMBERTO JAVIER ROSERO POTOSI</t>
        </is>
      </c>
      <c r="Q31" s="18" t="inlineStr">
        <is>
          <t>PLANEADA</t>
        </is>
      </c>
      <c r="R31" s="18" t="inlineStr">
        <is>
          <t>MINI GRANJAS</t>
        </is>
      </c>
      <c r="S31" s="18" t="inlineStr">
        <is>
          <t>FEHJ 36</t>
        </is>
      </c>
      <c r="T31" s="18" t="inlineStr">
        <is>
          <t>Viáticos - Transporte</t>
        </is>
      </c>
    </row>
    <row r="32">
      <c r="A32" s="42" t="n">
        <v>46170.62777777778</v>
      </c>
      <c r="B32" s="16" t="n">
        <v>3127</v>
      </c>
      <c r="C32" s="16" t="n">
        <v>2348</v>
      </c>
      <c r="D32" s="16" t="inlineStr">
        <is>
          <t>CERRADA</t>
        </is>
      </c>
      <c r="E32" s="16" t="inlineStr">
        <is>
          <t>CAUSADA</t>
        </is>
      </c>
      <c r="F32" s="16" t="inlineStr">
        <is>
          <t>Cajas De Paso</t>
        </is>
      </c>
      <c r="G32" s="16" t="inlineStr">
        <is>
          <t>(Sin Subgrupo)</t>
        </is>
      </c>
      <c r="H32" s="16" t="inlineStr">
        <is>
          <t>SUMINISTRO DE MARCOS METÁLICOS PARA CAJA DE INSPECCIÓN , PINTURA ANTICORROSIVA Y ESMALTE NEGRO EN ÁNGULO 1 1/2X3/16" CON DIMENSIONES: ANCHO: 1.5 M - LARGO: 1.5 M - UND</t>
        </is>
      </c>
      <c r="I32" s="43" t="n">
        <v>1</v>
      </c>
      <c r="J32" s="44" t="n">
        <v>162185</v>
      </c>
      <c r="K32" s="44" t="n">
        <v>162185</v>
      </c>
      <c r="L32" s="16" t="inlineStr">
        <is>
          <t>IVA 19%</t>
        </is>
      </c>
      <c r="M32" s="44" t="n">
        <v>30815</v>
      </c>
      <c r="N32" s="44">
        <f>K32+M32</f>
        <v/>
      </c>
      <c r="O32" s="16" t="inlineStr">
        <is>
          <t>LAURA SOFIA SALAS ROSERO</t>
        </is>
      </c>
      <c r="P32" s="16" t="inlineStr">
        <is>
          <t>HUMBERTO JAVIER ROSERO POTOSI</t>
        </is>
      </c>
      <c r="Q32" s="16" t="inlineStr">
        <is>
          <t>PLANEADA</t>
        </is>
      </c>
      <c r="R32" s="16" t="inlineStr">
        <is>
          <t>MINI GRANJAS</t>
        </is>
      </c>
      <c r="S32" s="16" t="inlineStr">
        <is>
          <t>FEHJ 36</t>
        </is>
      </c>
      <c r="T32" s="16" t="inlineStr">
        <is>
          <t>RETIE / Legalización / Medición</t>
        </is>
      </c>
    </row>
    <row r="33">
      <c r="A33" s="45" t="n">
        <v>46170.62777777778</v>
      </c>
      <c r="B33" s="18" t="n">
        <v>3127</v>
      </c>
      <c r="C33" s="18" t="n">
        <v>2348</v>
      </c>
      <c r="D33" s="18" t="inlineStr">
        <is>
          <t>CERRADA</t>
        </is>
      </c>
      <c r="E33" s="18" t="inlineStr">
        <is>
          <t>CAUSADA</t>
        </is>
      </c>
      <c r="F33" s="18" t="inlineStr">
        <is>
          <t>Cajas De Paso</t>
        </is>
      </c>
      <c r="G33" s="18" t="inlineStr">
        <is>
          <t>(Sin Subgrupo)</t>
        </is>
      </c>
      <c r="H33" s="18" t="inlineStr">
        <is>
          <t>SUMINISTRO DE TAPAS METÁLICAS PARA CAJA DE INSPECCIÓN EN LÁMINA ALFAJOR DE 2.5 MM, ÁNGULO DE 1 ½ X 3/16", PINTURA ANTICORROSIVA Y ESMALTE. DIMENSIONES: ANCHO: 1.5M Y LARGO: 1.5M - UND</t>
        </is>
      </c>
      <c r="I33" s="46" t="n">
        <v>1</v>
      </c>
      <c r="J33" s="47" t="n">
        <v>794118</v>
      </c>
      <c r="K33" s="47" t="n">
        <v>794118</v>
      </c>
      <c r="L33" s="18" t="inlineStr">
        <is>
          <t>IVA 19%</t>
        </is>
      </c>
      <c r="M33" s="47" t="n">
        <v>150882</v>
      </c>
      <c r="N33" s="47">
        <f>K33+M33</f>
        <v/>
      </c>
      <c r="O33" s="18" t="inlineStr">
        <is>
          <t>LAURA SOFIA SALAS ROSERO</t>
        </is>
      </c>
      <c r="P33" s="18" t="inlineStr">
        <is>
          <t>HUMBERTO JAVIER ROSERO POTOSI</t>
        </is>
      </c>
      <c r="Q33" s="18" t="inlineStr">
        <is>
          <t>PLANEADA</t>
        </is>
      </c>
      <c r="R33" s="18" t="inlineStr">
        <is>
          <t>MINI GRANJAS</t>
        </is>
      </c>
      <c r="S33" s="18" t="inlineStr">
        <is>
          <t>FEHJ 36</t>
        </is>
      </c>
      <c r="T33" s="18" t="inlineStr">
        <is>
          <t>RETIE / Legalización / Medición</t>
        </is>
      </c>
    </row>
    <row r="34">
      <c r="A34" s="42" t="n">
        <v>46170.62136574074</v>
      </c>
      <c r="B34" s="16" t="n">
        <v>3119</v>
      </c>
      <c r="C34" s="16" t="n">
        <v>2328</v>
      </c>
      <c r="D34" s="16" t="inlineStr">
        <is>
          <t>CERRADA</t>
        </is>
      </c>
      <c r="E34" s="16" t="inlineStr">
        <is>
          <t>PAGADA</t>
        </is>
      </c>
      <c r="F34" s="16" t="inlineStr">
        <is>
          <t>Servicio</t>
        </is>
      </c>
      <c r="G34" s="16" t="inlineStr">
        <is>
          <t>Logística Viáticos</t>
        </is>
      </c>
      <c r="H34" s="16" t="inlineStr">
        <is>
          <t>SERVICIO DE RESTAURANTE - UND</t>
        </is>
      </c>
      <c r="I34" s="43" t="n">
        <v>38</v>
      </c>
      <c r="J34" s="44" t="n">
        <v>10362.7</v>
      </c>
      <c r="K34" s="44" t="n">
        <v>393782.6</v>
      </c>
      <c r="L34" s="16" t="inlineStr"/>
      <c r="M34" s="44" t="n">
        <v>0</v>
      </c>
      <c r="N34" s="44">
        <f>K34+M34</f>
        <v/>
      </c>
      <c r="O34" s="16" t="inlineStr">
        <is>
          <t>LAURA SOFIA SALAS ROSERO</t>
        </is>
      </c>
      <c r="P34" s="16" t="inlineStr">
        <is>
          <t>MAYERLINE TOBAR GOMEZ</t>
        </is>
      </c>
      <c r="Q34" s="16" t="inlineStr">
        <is>
          <t>URGENCIA</t>
        </is>
      </c>
      <c r="R34" s="16" t="inlineStr">
        <is>
          <t>MINI GRANJAS</t>
        </is>
      </c>
      <c r="S34" s="16" t="inlineStr">
        <is>
          <t>1728</t>
        </is>
      </c>
      <c r="T34" s="16" t="inlineStr">
        <is>
          <t>Viáticos - Alimentación</t>
        </is>
      </c>
    </row>
    <row r="35">
      <c r="A35" s="45" t="n">
        <v>46170.62136574074</v>
      </c>
      <c r="B35" s="18" t="n">
        <v>3119</v>
      </c>
      <c r="C35" s="18" t="n">
        <v>2328</v>
      </c>
      <c r="D35" s="18" t="inlineStr">
        <is>
          <t>CERRADA</t>
        </is>
      </c>
      <c r="E35" s="18" t="inlineStr">
        <is>
          <t>PAGADA</t>
        </is>
      </c>
      <c r="F35" s="18" t="inlineStr">
        <is>
          <t>Servicio</t>
        </is>
      </c>
      <c r="G35" s="18" t="inlineStr">
        <is>
          <t>Logística Viáticos</t>
        </is>
      </c>
      <c r="H35" s="18" t="inlineStr">
        <is>
          <t>SERVICIO DE RESTAURANTE - UND</t>
        </is>
      </c>
      <c r="I35" s="46" t="n">
        <v>68</v>
      </c>
      <c r="J35" s="47" t="n">
        <v>13471.5</v>
      </c>
      <c r="K35" s="47" t="n">
        <v>916062</v>
      </c>
      <c r="L35" s="18" t="inlineStr"/>
      <c r="M35" s="47" t="n">
        <v>0</v>
      </c>
      <c r="N35" s="47">
        <f>K35+M35</f>
        <v/>
      </c>
      <c r="O35" s="18" t="inlineStr">
        <is>
          <t>LAURA SOFIA SALAS ROSERO</t>
        </is>
      </c>
      <c r="P35" s="18" t="inlineStr">
        <is>
          <t>MAYERLINE TOBAR GOMEZ</t>
        </is>
      </c>
      <c r="Q35" s="18" t="inlineStr">
        <is>
          <t>URGENCIA</t>
        </is>
      </c>
      <c r="R35" s="18" t="inlineStr">
        <is>
          <t>MINI GRANJAS</t>
        </is>
      </c>
      <c r="S35" s="18" t="inlineStr">
        <is>
          <t>1728</t>
        </is>
      </c>
      <c r="T35" s="18" t="inlineStr">
        <is>
          <t>Viáticos - Alimentación</t>
        </is>
      </c>
    </row>
    <row r="36">
      <c r="A36" s="42" t="n">
        <v>46156.70278935185</v>
      </c>
      <c r="B36" s="16" t="n">
        <v>2943</v>
      </c>
      <c r="C36" s="16" t="n">
        <v>2207</v>
      </c>
      <c r="D36" s="16" t="inlineStr">
        <is>
          <t>CERRADA</t>
        </is>
      </c>
      <c r="E36" s="16" t="inlineStr">
        <is>
          <t>PAGADA</t>
        </is>
      </c>
      <c r="F36" s="16" t="inlineStr">
        <is>
          <t>9-Legalización</t>
        </is>
      </c>
      <c r="G36" s="16" t="inlineStr">
        <is>
          <t>9.1 -Retie Gd</t>
        </is>
      </c>
      <c r="H36" s="16" t="inlineStr">
        <is>
          <t>CERTIFICADO RETIE - UND</t>
        </is>
      </c>
      <c r="I36" s="43" t="n">
        <v>1</v>
      </c>
      <c r="J36" s="44" t="n">
        <v>1000000</v>
      </c>
      <c r="K36" s="44" t="n">
        <v>1000000</v>
      </c>
      <c r="L36" s="16" t="inlineStr">
        <is>
          <t>IVA 19%</t>
        </is>
      </c>
      <c r="M36" s="44" t="n">
        <v>190000</v>
      </c>
      <c r="N36" s="44">
        <f>K36+M36</f>
        <v/>
      </c>
      <c r="O36" s="16" t="inlineStr">
        <is>
          <t>LAURA SOFIA SALAS ROSERO</t>
        </is>
      </c>
      <c r="P36" s="16" t="inlineStr">
        <is>
          <t>ODIR CERTIFICACIONES SAS</t>
        </is>
      </c>
      <c r="Q36" s="16" t="inlineStr">
        <is>
          <t>EMERGENCIA</t>
        </is>
      </c>
      <c r="R36" s="16" t="inlineStr">
        <is>
          <t>MINI GRANJAS</t>
        </is>
      </c>
      <c r="S36" s="16" t="inlineStr">
        <is>
          <t>ODIR-016201</t>
        </is>
      </c>
      <c r="T36" s="16" t="inlineStr">
        <is>
          <t>RETIE / Legalización / Medición</t>
        </is>
      </c>
    </row>
    <row r="37">
      <c r="A37" s="45" t="n">
        <v>46155.42665509259</v>
      </c>
      <c r="B37" s="18" t="n">
        <v>2925</v>
      </c>
      <c r="C37" s="18" t="n">
        <v>2159</v>
      </c>
      <c r="D37" s="18" t="inlineStr">
        <is>
          <t>CERRADA</t>
        </is>
      </c>
      <c r="E37" s="18" t="inlineStr">
        <is>
          <t>PAGADA</t>
        </is>
      </c>
      <c r="F37" s="18" t="inlineStr">
        <is>
          <t>Set (Electrico) Suministro</t>
        </is>
      </c>
      <c r="G37" s="18" t="inlineStr">
        <is>
          <t>(Sin Subgrupo)</t>
        </is>
      </c>
      <c r="H37" s="18" t="inlineStr">
        <is>
          <t>SENSOR DE HUMO LYNX SECURITY LY-DH4T - UND</t>
        </is>
      </c>
      <c r="I37" s="46" t="n">
        <v>2</v>
      </c>
      <c r="J37" s="47" t="n">
        <v>58000</v>
      </c>
      <c r="K37" s="47" t="n">
        <v>116000</v>
      </c>
      <c r="L37" s="18" t="inlineStr">
        <is>
          <t>IVA 19%</t>
        </is>
      </c>
      <c r="M37" s="47" t="n">
        <v>22040</v>
      </c>
      <c r="N37" s="47">
        <f>K37+M37</f>
        <v/>
      </c>
      <c r="O37" s="18" t="inlineStr">
        <is>
          <t>LAURA SOFIA SALAS ROSERO</t>
        </is>
      </c>
      <c r="P37" s="18" t="inlineStr">
        <is>
          <t>SEGURIDAD DEL SUR LIMITADA</t>
        </is>
      </c>
      <c r="Q37" s="18" t="inlineStr">
        <is>
          <t>PLANEADA</t>
        </is>
      </c>
      <c r="R37" s="18" t="inlineStr">
        <is>
          <t>MINI GRANJAS</t>
        </is>
      </c>
      <c r="S37" s="18" t="inlineStr">
        <is>
          <t>002</t>
        </is>
      </c>
      <c r="T37" s="18" t="inlineStr">
        <is>
          <t>Otros / sin clasificar</t>
        </is>
      </c>
    </row>
    <row r="38">
      <c r="A38" s="42" t="n">
        <v>46155.42621527778</v>
      </c>
      <c r="B38" s="16" t="n">
        <v>2924</v>
      </c>
      <c r="C38" s="16" t="n">
        <v>2159</v>
      </c>
      <c r="D38" s="16" t="inlineStr">
        <is>
          <t>CERRADA</t>
        </is>
      </c>
      <c r="E38" s="16" t="inlineStr">
        <is>
          <t>CAUSADA</t>
        </is>
      </c>
      <c r="F38" s="16" t="inlineStr">
        <is>
          <t>Set (Electrico) Suministro</t>
        </is>
      </c>
      <c r="G38" s="16" t="inlineStr">
        <is>
          <t>(Sin Subgrupo)</t>
        </is>
      </c>
      <c r="H38" s="16" t="inlineStr">
        <is>
          <t>EXTINTOR TIPO CO2 CLASE BC X 10LB (ACERO) - UND</t>
        </is>
      </c>
      <c r="I38" s="43" t="n">
        <v>2</v>
      </c>
      <c r="J38" s="44" t="n">
        <v>250000</v>
      </c>
      <c r="K38" s="44" t="n">
        <v>500000</v>
      </c>
      <c r="L38" s="16" t="inlineStr">
        <is>
          <t>IVA 19%</t>
        </is>
      </c>
      <c r="M38" s="44" t="n">
        <v>95000</v>
      </c>
      <c r="N38" s="44">
        <f>K38+M38</f>
        <v/>
      </c>
      <c r="O38" s="16" t="inlineStr">
        <is>
          <t>LAURA SOFIA SALAS ROSERO</t>
        </is>
      </c>
      <c r="P38" s="16" t="inlineStr">
        <is>
          <t>DISTRITO E SAS</t>
        </is>
      </c>
      <c r="Q38" s="16" t="inlineStr">
        <is>
          <t>PLANEADA</t>
        </is>
      </c>
      <c r="R38" s="16" t="inlineStr">
        <is>
          <t>MINI GRANJAS</t>
        </is>
      </c>
      <c r="S38" s="16" t="inlineStr">
        <is>
          <t>2155</t>
        </is>
      </c>
      <c r="T38" s="16" t="inlineStr">
        <is>
          <t>Otros / sin clasificar</t>
        </is>
      </c>
    </row>
    <row r="39">
      <c r="A39" s="45" t="n">
        <v>46155.41964120371</v>
      </c>
      <c r="B39" s="18" t="n">
        <v>2919</v>
      </c>
      <c r="C39" s="18" t="n">
        <v>2164</v>
      </c>
      <c r="D39" s="18" t="inlineStr">
        <is>
          <t>CERRADA</t>
        </is>
      </c>
      <c r="E39" s="18" t="inlineStr">
        <is>
          <t>PAGADA</t>
        </is>
      </c>
      <c r="F39" s="18" t="inlineStr">
        <is>
          <t>Servicio</t>
        </is>
      </c>
      <c r="G39" s="18" t="inlineStr">
        <is>
          <t>Logística Viáticos</t>
        </is>
      </c>
      <c r="H39" s="18" t="inlineStr">
        <is>
          <t>SERVICIO DE RESTAURANTE - UND</t>
        </is>
      </c>
      <c r="I39" s="46" t="n">
        <v>38</v>
      </c>
      <c r="J39" s="47" t="n">
        <v>10362.69</v>
      </c>
      <c r="K39" s="47" t="n">
        <v>393782.22</v>
      </c>
      <c r="L39" s="18" t="inlineStr"/>
      <c r="M39" s="47" t="n">
        <v>0</v>
      </c>
      <c r="N39" s="47">
        <f>K39+M39</f>
        <v/>
      </c>
      <c r="O39" s="18" t="inlineStr">
        <is>
          <t>LAURA SOFIA SALAS ROSERO</t>
        </is>
      </c>
      <c r="P39" s="18" t="inlineStr">
        <is>
          <t>MAYERLINE TOBAR GOMEZ</t>
        </is>
      </c>
      <c r="Q39" s="18" t="inlineStr">
        <is>
          <t>PLANEADA</t>
        </is>
      </c>
      <c r="R39" s="18" t="inlineStr">
        <is>
          <t>MINI GRANJAS</t>
        </is>
      </c>
      <c r="S39" s="18" t="inlineStr">
        <is>
          <t>1709</t>
        </is>
      </c>
      <c r="T39" s="18" t="inlineStr">
        <is>
          <t>Viáticos - Alimentación</t>
        </is>
      </c>
    </row>
    <row r="40">
      <c r="A40" s="42" t="n">
        <v>46155.41964120371</v>
      </c>
      <c r="B40" s="16" t="n">
        <v>2919</v>
      </c>
      <c r="C40" s="16" t="n">
        <v>2164</v>
      </c>
      <c r="D40" s="16" t="inlineStr">
        <is>
          <t>CERRADA</t>
        </is>
      </c>
      <c r="E40" s="16" t="inlineStr">
        <is>
          <t>PAGADA</t>
        </is>
      </c>
      <c r="F40" s="16" t="inlineStr">
        <is>
          <t>Servicio</t>
        </is>
      </c>
      <c r="G40" s="16" t="inlineStr">
        <is>
          <t>Logística Viáticos</t>
        </is>
      </c>
      <c r="H40" s="16" t="inlineStr">
        <is>
          <t>SERVICIO DE RESTAURANTE - UND</t>
        </is>
      </c>
      <c r="I40" s="43" t="n">
        <v>67</v>
      </c>
      <c r="J40" s="44" t="n">
        <v>13471.51</v>
      </c>
      <c r="K40" s="44" t="n">
        <v>902591.17</v>
      </c>
      <c r="L40" s="16" t="inlineStr"/>
      <c r="M40" s="44" t="n">
        <v>0</v>
      </c>
      <c r="N40" s="44">
        <f>K40+M40</f>
        <v/>
      </c>
      <c r="O40" s="16" t="inlineStr">
        <is>
          <t>LAURA SOFIA SALAS ROSERO</t>
        </is>
      </c>
      <c r="P40" s="16" t="inlineStr">
        <is>
          <t>MAYERLINE TOBAR GOMEZ</t>
        </is>
      </c>
      <c r="Q40" s="16" t="inlineStr">
        <is>
          <t>PLANEADA</t>
        </is>
      </c>
      <c r="R40" s="16" t="inlineStr">
        <is>
          <t>MINI GRANJAS</t>
        </is>
      </c>
      <c r="S40" s="16" t="inlineStr">
        <is>
          <t>1709</t>
        </is>
      </c>
      <c r="T40" s="16" t="inlineStr">
        <is>
          <t>Viáticos - Alimentación</t>
        </is>
      </c>
    </row>
    <row r="41">
      <c r="A41" s="45" t="n">
        <v>46155.41886574074</v>
      </c>
      <c r="B41" s="18" t="n">
        <v>2918</v>
      </c>
      <c r="C41" s="18" t="n">
        <v>2165</v>
      </c>
      <c r="D41" s="18" t="inlineStr">
        <is>
          <t>CERRADA</t>
        </is>
      </c>
      <c r="E41" s="18" t="inlineStr">
        <is>
          <t>CAUSADA</t>
        </is>
      </c>
      <c r="F41" s="18" t="inlineStr">
        <is>
          <t>Set (Civil) Suministro</t>
        </is>
      </c>
      <c r="G41" s="18" t="inlineStr">
        <is>
          <t>Set (Civil) Servicio</t>
        </is>
      </c>
      <c r="H41" s="18" t="inlineStr">
        <is>
          <t>SERVICIO DE TRANSPORTE - UND</t>
        </is>
      </c>
      <c r="I41" s="46" t="n">
        <v>1</v>
      </c>
      <c r="J41" s="47" t="n">
        <v>630251</v>
      </c>
      <c r="K41" s="47" t="n">
        <v>630251</v>
      </c>
      <c r="L41" s="18" t="inlineStr"/>
      <c r="M41" s="47" t="n">
        <v>0</v>
      </c>
      <c r="N41" s="47">
        <f>K41+M41</f>
        <v/>
      </c>
      <c r="O41" s="18" t="inlineStr">
        <is>
          <t>LAURA SOFIA SALAS ROSERO</t>
        </is>
      </c>
      <c r="P41" s="18" t="inlineStr">
        <is>
          <t>HUMBERTO JAVIER ROSERO POTOSI</t>
        </is>
      </c>
      <c r="Q41" s="18" t="inlineStr">
        <is>
          <t>PLANEADA</t>
        </is>
      </c>
      <c r="R41" s="18" t="inlineStr">
        <is>
          <t>MINI GRANJAS</t>
        </is>
      </c>
      <c r="S41" s="18" t="inlineStr">
        <is>
          <t>FEHJ39</t>
        </is>
      </c>
      <c r="T41" s="18" t="inlineStr">
        <is>
          <t>Viáticos - Transporte</t>
        </is>
      </c>
    </row>
    <row r="42">
      <c r="A42" s="42" t="n">
        <v>46155.41886574074</v>
      </c>
      <c r="B42" s="16" t="n">
        <v>2918</v>
      </c>
      <c r="C42" s="16" t="n">
        <v>2165</v>
      </c>
      <c r="D42" s="16" t="inlineStr">
        <is>
          <t>CERRADA</t>
        </is>
      </c>
      <c r="E42" s="16" t="inlineStr">
        <is>
          <t>CAUSADA</t>
        </is>
      </c>
      <c r="F42" s="16" t="inlineStr">
        <is>
          <t>Set (Civil) Suministro</t>
        </is>
      </c>
      <c r="G42" s="16" t="inlineStr">
        <is>
          <t>Set (Civil) Servicio</t>
        </is>
      </c>
      <c r="H42" s="16" t="inlineStr">
        <is>
          <t>SUMINISTRO DE TAPAS PARA CÁRCAMOS. CUARTO ELÉCTRICO. EN ANGULO DE 1 1/4X1/8" Y LAMINA ALFAJOR DE 2.5MM, PINTURA ANTICORROSIVA Y ESMALTE. - UND</t>
        </is>
      </c>
      <c r="I42" s="43" t="n">
        <v>1</v>
      </c>
      <c r="J42" s="44" t="n">
        <v>4396840.85</v>
      </c>
      <c r="K42" s="44" t="n">
        <v>4396840.85</v>
      </c>
      <c r="L42" s="16" t="inlineStr"/>
      <c r="M42" s="44" t="n">
        <v>0</v>
      </c>
      <c r="N42" s="44">
        <f>K42+M42</f>
        <v/>
      </c>
      <c r="O42" s="16" t="inlineStr">
        <is>
          <t>LAURA SOFIA SALAS ROSERO</t>
        </is>
      </c>
      <c r="P42" s="16" t="inlineStr">
        <is>
          <t>HUMBERTO JAVIER ROSERO POTOSI</t>
        </is>
      </c>
      <c r="Q42" s="16" t="inlineStr">
        <is>
          <t>PLANEADA</t>
        </is>
      </c>
      <c r="R42" s="16" t="inlineStr">
        <is>
          <t>MINI GRANJAS</t>
        </is>
      </c>
      <c r="S42" s="16" t="inlineStr">
        <is>
          <t>FEHJ39</t>
        </is>
      </c>
      <c r="T42" s="16" t="inlineStr">
        <is>
          <t>Estructura y soportería solar</t>
        </is>
      </c>
    </row>
    <row r="43">
      <c r="A43" s="45" t="n">
        <v>46155.41585648148</v>
      </c>
      <c r="B43" s="18" t="n">
        <v>2914</v>
      </c>
      <c r="C43" s="18" t="n">
        <v>2169</v>
      </c>
      <c r="D43" s="18" t="inlineStr">
        <is>
          <t>CERRADA</t>
        </is>
      </c>
      <c r="E43" s="18" t="inlineStr">
        <is>
          <t>PAGADA</t>
        </is>
      </c>
      <c r="F43" s="18" t="inlineStr">
        <is>
          <t>Servicio</t>
        </is>
      </c>
      <c r="G43" s="18" t="inlineStr">
        <is>
          <t>Preparativos Previos Inicio De Obras</t>
        </is>
      </c>
      <c r="H43" s="18" t="inlineStr">
        <is>
          <t>CHIPA DE ACERO 3/8 CORRUGADA - UND</t>
        </is>
      </c>
      <c r="I43" s="46" t="n">
        <v>300</v>
      </c>
      <c r="J43" s="47" t="n">
        <v>4453.7</v>
      </c>
      <c r="K43" s="47" t="n">
        <v>1336110</v>
      </c>
      <c r="L43" s="18" t="inlineStr">
        <is>
          <t>IVA 19%</t>
        </is>
      </c>
      <c r="M43" s="47" t="n">
        <v>253860</v>
      </c>
      <c r="N43" s="47">
        <f>K43+M43</f>
        <v/>
      </c>
      <c r="O43" s="18" t="inlineStr">
        <is>
          <t>LAURA SOFIA SALAS ROSERO</t>
        </is>
      </c>
      <c r="P43" s="18" t="inlineStr">
        <is>
          <t>LIBIA MIREYA ROSERO DAZA (FERRETERIA EL BORDO)</t>
        </is>
      </c>
      <c r="Q43" s="18" t="inlineStr">
        <is>
          <t>PLANEADA</t>
        </is>
      </c>
      <c r="R43" s="18" t="inlineStr">
        <is>
          <t>MINI GRANJAS</t>
        </is>
      </c>
      <c r="S43" s="18" t="inlineStr">
        <is>
          <t>7148</t>
        </is>
      </c>
      <c r="T43" s="18" t="inlineStr">
        <is>
          <t>Obra civil (concreto, agregados)</t>
        </is>
      </c>
    </row>
    <row r="44">
      <c r="A44" s="42" t="n">
        <v>46153.67034722222</v>
      </c>
      <c r="B44" s="16" t="n">
        <v>2898</v>
      </c>
      <c r="C44" s="16" t="n">
        <v>2159</v>
      </c>
      <c r="D44" s="16" t="inlineStr">
        <is>
          <t>CERRADA</t>
        </is>
      </c>
      <c r="E44" s="16" t="inlineStr">
        <is>
          <t>PAGADA</t>
        </is>
      </c>
      <c r="F44" s="16" t="inlineStr">
        <is>
          <t>Set (Electrico) Suministro</t>
        </is>
      </c>
      <c r="G44" s="16" t="inlineStr">
        <is>
          <t>(Sin Subgrupo)</t>
        </is>
      </c>
      <c r="H44" s="16" t="inlineStr">
        <is>
          <t>SIKABOOM - UND</t>
        </is>
      </c>
      <c r="I44" s="43" t="n">
        <v>10</v>
      </c>
      <c r="J44" s="44" t="n">
        <v>54171</v>
      </c>
      <c r="K44" s="44" t="n">
        <v>541710</v>
      </c>
      <c r="L44" s="16" t="inlineStr">
        <is>
          <t>IVA 19%</t>
        </is>
      </c>
      <c r="M44" s="44" t="n">
        <v>102924</v>
      </c>
      <c r="N44" s="44">
        <f>K44+M44</f>
        <v/>
      </c>
      <c r="O44" s="16" t="inlineStr">
        <is>
          <t>LAURA SOFIA SALAS ROSERO</t>
        </is>
      </c>
      <c r="P44" s="16" t="inlineStr">
        <is>
          <t>GRUPO EMPRESARIAL SILVER S.A.S</t>
        </is>
      </c>
      <c r="Q44" s="16" t="inlineStr">
        <is>
          <t>PLANEADA</t>
        </is>
      </c>
      <c r="R44" s="16" t="inlineStr">
        <is>
          <t>MINI GRANJAS</t>
        </is>
      </c>
      <c r="S44" s="16" t="inlineStr">
        <is>
          <t>003</t>
        </is>
      </c>
      <c r="T44" s="16" t="inlineStr">
        <is>
          <t>Impermeabilización y acabados</t>
        </is>
      </c>
    </row>
    <row r="45">
      <c r="A45" s="45" t="n">
        <v>46150.63398148148</v>
      </c>
      <c r="B45" s="18" t="n">
        <v>2884</v>
      </c>
      <c r="C45" s="18" t="n">
        <v>2132</v>
      </c>
      <c r="D45" s="18" t="inlineStr">
        <is>
          <t>CERRADA</t>
        </is>
      </c>
      <c r="E45" s="18" t="inlineStr">
        <is>
          <t>PAGADA</t>
        </is>
      </c>
      <c r="F45" s="18" t="inlineStr">
        <is>
          <t>C. Material Micropilotaje</t>
        </is>
      </c>
      <c r="G45" s="18" t="inlineStr">
        <is>
          <t>(Sin Subgrupo)</t>
        </is>
      </c>
      <c r="H45" s="18" t="inlineStr">
        <is>
          <t>CRUDO DE RÍO X M3 - M3</t>
        </is>
      </c>
      <c r="I45" s="46" t="n">
        <v>35</v>
      </c>
      <c r="J45" s="47" t="n">
        <v>90000</v>
      </c>
      <c r="K45" s="47" t="n">
        <v>3150000</v>
      </c>
      <c r="L45" s="18" t="inlineStr"/>
      <c r="M45" s="47" t="n">
        <v>0</v>
      </c>
      <c r="N45" s="47">
        <f>K45+M45</f>
        <v/>
      </c>
      <c r="O45" s="18" t="inlineStr">
        <is>
          <t>LAURA SOFIA SALAS ROSERO</t>
        </is>
      </c>
      <c r="P45" s="18" t="inlineStr">
        <is>
          <t>CAMPO HELMER PORTILLO PORTILLA</t>
        </is>
      </c>
      <c r="Q45" s="18" t="inlineStr">
        <is>
          <t>PLANEADA</t>
        </is>
      </c>
      <c r="R45" s="18" t="inlineStr">
        <is>
          <t>MINI GRANJAS</t>
        </is>
      </c>
      <c r="S45" s="18" t="inlineStr">
        <is>
          <t>0248</t>
        </is>
      </c>
      <c r="T45" s="18" t="inlineStr">
        <is>
          <t>Obra civil (concreto, agregados)</t>
        </is>
      </c>
    </row>
    <row r="46">
      <c r="A46" s="42" t="n">
        <v>46150.63180555555</v>
      </c>
      <c r="B46" s="16" t="n">
        <v>2882</v>
      </c>
      <c r="C46" s="16" t="n">
        <v>2134</v>
      </c>
      <c r="D46" s="16" t="inlineStr">
        <is>
          <t>CERRADA</t>
        </is>
      </c>
      <c r="E46" s="16" t="inlineStr">
        <is>
          <t>PAGADA</t>
        </is>
      </c>
      <c r="F46" s="16" t="inlineStr">
        <is>
          <t>Cajas De Paso</t>
        </is>
      </c>
      <c r="G46" s="16" t="inlineStr">
        <is>
          <t>(Sin Subgrupo)</t>
        </is>
      </c>
      <c r="H46" s="16" t="inlineStr">
        <is>
          <t>TRITURADO 3/4 - M3</t>
        </is>
      </c>
      <c r="I46" s="43" t="n">
        <v>14</v>
      </c>
      <c r="J46" s="44" t="n">
        <v>164000</v>
      </c>
      <c r="K46" s="44" t="n">
        <v>2296000</v>
      </c>
      <c r="L46" s="16" t="inlineStr"/>
      <c r="M46" s="44" t="n">
        <v>0</v>
      </c>
      <c r="N46" s="44">
        <f>K46+M46</f>
        <v/>
      </c>
      <c r="O46" s="16" t="inlineStr">
        <is>
          <t>LAURA SOFIA SALAS ROSERO</t>
        </is>
      </c>
      <c r="P46" s="16" t="inlineStr">
        <is>
          <t>CAMPO HELMER PORTILLO PORTILLA</t>
        </is>
      </c>
      <c r="Q46" s="16" t="inlineStr">
        <is>
          <t>PLANEADA</t>
        </is>
      </c>
      <c r="R46" s="16" t="inlineStr">
        <is>
          <t>MINI GRANJAS</t>
        </is>
      </c>
      <c r="S46" s="16" t="inlineStr">
        <is>
          <t>0247</t>
        </is>
      </c>
      <c r="T46" s="16" t="inlineStr">
        <is>
          <t>Obra civil (concreto, agregados)</t>
        </is>
      </c>
    </row>
    <row r="47">
      <c r="A47" s="45" t="n">
        <v>46150.62488425926</v>
      </c>
      <c r="B47" s="18" t="n">
        <v>2874</v>
      </c>
      <c r="C47" s="18" t="n">
        <v>2124</v>
      </c>
      <c r="D47" s="18" t="inlineStr">
        <is>
          <t>CERRADA</t>
        </is>
      </c>
      <c r="E47" s="18" t="inlineStr">
        <is>
          <t>PAGADA</t>
        </is>
      </c>
      <c r="F47" s="18" t="inlineStr">
        <is>
          <t>Servicio</t>
        </is>
      </c>
      <c r="G47" s="18" t="inlineStr">
        <is>
          <t>Set (Electrico)Servicio</t>
        </is>
      </c>
      <c r="H47" s="18" t="inlineStr">
        <is>
          <t>INSTALACION PREMOLDEADOS - UND</t>
        </is>
      </c>
      <c r="I47" s="46" t="n">
        <v>12</v>
      </c>
      <c r="J47" s="47" t="n">
        <v>134453.78</v>
      </c>
      <c r="K47" s="47" t="n">
        <v>1613445.36</v>
      </c>
      <c r="L47" s="18" t="inlineStr">
        <is>
          <t>IVA 19%</t>
        </is>
      </c>
      <c r="M47" s="47" t="n">
        <v>306554</v>
      </c>
      <c r="N47" s="47">
        <f>K47+M47</f>
        <v/>
      </c>
      <c r="O47" s="18" t="inlineStr">
        <is>
          <t>LAURA SOFIA SALAS ROSERO</t>
        </is>
      </c>
      <c r="P47" s="18" t="inlineStr">
        <is>
          <t>CONSTRUELECTRIC CNE SAS</t>
        </is>
      </c>
      <c r="Q47" s="18" t="inlineStr">
        <is>
          <t>PLANEADA</t>
        </is>
      </c>
      <c r="R47" s="18" t="inlineStr">
        <is>
          <t>MINI GRANJAS</t>
        </is>
      </c>
      <c r="S47" s="18" t="inlineStr">
        <is>
          <t>No. FVE 43</t>
        </is>
      </c>
      <c r="T47" s="18" t="inlineStr">
        <is>
          <t>Servicios de instalación y montaje</t>
        </is>
      </c>
    </row>
    <row r="48">
      <c r="A48" s="42" t="n">
        <v>46148.43585648148</v>
      </c>
      <c r="B48" s="16" t="n">
        <v>2845</v>
      </c>
      <c r="C48" s="16" t="n">
        <v>2114</v>
      </c>
      <c r="D48" s="16" t="inlineStr">
        <is>
          <t>CERRADA</t>
        </is>
      </c>
      <c r="E48" s="16" t="inlineStr">
        <is>
          <t>PAGADA</t>
        </is>
      </c>
      <c r="F48" s="16" t="inlineStr">
        <is>
          <t>Servicio</t>
        </is>
      </c>
      <c r="G48" s="16" t="inlineStr">
        <is>
          <t>Set (Electrico)Servicio</t>
        </is>
      </c>
      <c r="H48" s="16" t="inlineStr">
        <is>
          <t>SERVICIO DE COMISIONAMIENTO Y ACOMPAÑAMIENTO EN LA ENERGIZACIÓN - UND</t>
        </is>
      </c>
      <c r="I48" s="43" t="n">
        <v>1</v>
      </c>
      <c r="J48" s="44" t="n">
        <v>17970000</v>
      </c>
      <c r="K48" s="44" t="n">
        <v>17970000</v>
      </c>
      <c r="L48" s="16" t="inlineStr"/>
      <c r="M48" s="44" t="n">
        <v>0</v>
      </c>
      <c r="N48" s="44">
        <f>K48+M48</f>
        <v/>
      </c>
      <c r="O48" s="16" t="inlineStr">
        <is>
          <t>LAURA SOFIA SALAS ROSERO</t>
        </is>
      </c>
      <c r="P48" s="16" t="inlineStr">
        <is>
          <t>DAGELEC LTDA</t>
        </is>
      </c>
      <c r="Q48" s="16" t="inlineStr">
        <is>
          <t>URGENCIA</t>
        </is>
      </c>
      <c r="R48" s="16" t="inlineStr">
        <is>
          <t>MINI GRANJAS</t>
        </is>
      </c>
      <c r="S48" s="16" t="inlineStr">
        <is>
          <t>OF-162-2026</t>
        </is>
      </c>
      <c r="T48" s="16" t="inlineStr">
        <is>
          <t>Servicios de obra e ingeniería</t>
        </is>
      </c>
    </row>
    <row r="49">
      <c r="A49" s="45" t="n">
        <v>46146.63587962963</v>
      </c>
      <c r="B49" s="18" t="n">
        <v>2825</v>
      </c>
      <c r="C49" s="18" t="n">
        <v>2106</v>
      </c>
      <c r="D49" s="18" t="inlineStr">
        <is>
          <t>CERRADA</t>
        </is>
      </c>
      <c r="E49" s="18" t="inlineStr">
        <is>
          <t>PAGADA</t>
        </is>
      </c>
      <c r="F49" s="18" t="inlineStr">
        <is>
          <t>Set (Civil) Suministro</t>
        </is>
      </c>
      <c r="G49" s="18" t="inlineStr">
        <is>
          <t>Set (Civil) Servicio</t>
        </is>
      </c>
      <c r="H49" s="18" t="inlineStr">
        <is>
          <t>OMEGA PARA INSTALACION DE SUPERBOARD ( 0.38 MM X 3/4" X 2-5/16" X 2.44 METROS) - UND</t>
        </is>
      </c>
      <c r="I49" s="46" t="n">
        <v>30</v>
      </c>
      <c r="J49" s="47" t="n">
        <v>4000</v>
      </c>
      <c r="K49" s="47" t="n">
        <v>120000</v>
      </c>
      <c r="L49" s="18" t="inlineStr"/>
      <c r="M49" s="47" t="n">
        <v>0</v>
      </c>
      <c r="N49" s="47">
        <f>K49+M49</f>
        <v/>
      </c>
      <c r="O49" s="18" t="inlineStr">
        <is>
          <t>LAURA SOFIA SALAS ROSERO</t>
        </is>
      </c>
      <c r="P49" s="18" t="inlineStr">
        <is>
          <t>AURA MIREY BURBANO DAZA (FERROMAC)</t>
        </is>
      </c>
      <c r="Q49" s="18" t="inlineStr">
        <is>
          <t>URGENCIA</t>
        </is>
      </c>
      <c r="R49" s="18" t="inlineStr">
        <is>
          <t>MINI GRANJAS</t>
        </is>
      </c>
      <c r="S49" s="18" t="inlineStr">
        <is>
          <t>3622</t>
        </is>
      </c>
      <c r="T49" s="18" t="inlineStr">
        <is>
          <t>Servicios de instalación y montaje</t>
        </is>
      </c>
    </row>
    <row r="50">
      <c r="A50" s="42" t="n">
        <v>46146.63587962963</v>
      </c>
      <c r="B50" s="16" t="n">
        <v>2825</v>
      </c>
      <c r="C50" s="16" t="n">
        <v>2106</v>
      </c>
      <c r="D50" s="16" t="inlineStr">
        <is>
          <t>CERRADA</t>
        </is>
      </c>
      <c r="E50" s="16" t="inlineStr">
        <is>
          <t>PAGADA</t>
        </is>
      </c>
      <c r="F50" s="16" t="inlineStr">
        <is>
          <t>Set (Civil) Suministro</t>
        </is>
      </c>
      <c r="G50" s="16" t="inlineStr">
        <is>
          <t>Set (Civil) Servicio</t>
        </is>
      </c>
      <c r="H50" s="16" t="inlineStr">
        <is>
          <t>VIGUETA PARA SUPERBOARD DE 1 1/2" X3/4" CALIBRE 40 - UND</t>
        </is>
      </c>
      <c r="I50" s="43" t="n">
        <v>15</v>
      </c>
      <c r="J50" s="44" t="n">
        <v>4000</v>
      </c>
      <c r="K50" s="44" t="n">
        <v>60000</v>
      </c>
      <c r="L50" s="16" t="inlineStr"/>
      <c r="M50" s="44" t="n">
        <v>0</v>
      </c>
      <c r="N50" s="44">
        <f>K50+M50</f>
        <v/>
      </c>
      <c r="O50" s="16" t="inlineStr">
        <is>
          <t>LAURA SOFIA SALAS ROSERO</t>
        </is>
      </c>
      <c r="P50" s="16" t="inlineStr">
        <is>
          <t>AURA MIREY BURBANO DAZA (FERROMAC)</t>
        </is>
      </c>
      <c r="Q50" s="16" t="inlineStr">
        <is>
          <t>URGENCIA</t>
        </is>
      </c>
      <c r="R50" s="16" t="inlineStr">
        <is>
          <t>MINI GRANJAS</t>
        </is>
      </c>
      <c r="S50" s="16" t="inlineStr">
        <is>
          <t>3622</t>
        </is>
      </c>
      <c r="T50" s="16" t="inlineStr">
        <is>
          <t>Estructura y soportería solar</t>
        </is>
      </c>
    </row>
    <row r="51">
      <c r="A51" s="45" t="n">
        <v>46146.63587962963</v>
      </c>
      <c r="B51" s="18" t="n">
        <v>2825</v>
      </c>
      <c r="C51" s="18" t="n">
        <v>2106</v>
      </c>
      <c r="D51" s="18" t="inlineStr">
        <is>
          <t>CERRADA</t>
        </is>
      </c>
      <c r="E51" s="18" t="inlineStr">
        <is>
          <t>PAGADA</t>
        </is>
      </c>
      <c r="F51" s="18" t="inlineStr">
        <is>
          <t>Set (Civil) Suministro</t>
        </is>
      </c>
      <c r="G51" s="18" t="inlineStr">
        <is>
          <t>Set (Civil) Servicio</t>
        </is>
      </c>
      <c r="H51" s="18" t="inlineStr">
        <is>
          <t>PERFIL RECTANGULAR DE 2"X1" X 6M CAL 18 - UND</t>
        </is>
      </c>
      <c r="I51" s="46" t="n">
        <v>15</v>
      </c>
      <c r="J51" s="47" t="n">
        <v>40000</v>
      </c>
      <c r="K51" s="47" t="n">
        <v>600000</v>
      </c>
      <c r="L51" s="18" t="inlineStr"/>
      <c r="M51" s="47" t="n">
        <v>0</v>
      </c>
      <c r="N51" s="47">
        <f>K51+M51</f>
        <v/>
      </c>
      <c r="O51" s="18" t="inlineStr">
        <is>
          <t>LAURA SOFIA SALAS ROSERO</t>
        </is>
      </c>
      <c r="P51" s="18" t="inlineStr">
        <is>
          <t>AURA MIREY BURBANO DAZA (FERROMAC)</t>
        </is>
      </c>
      <c r="Q51" s="18" t="inlineStr">
        <is>
          <t>URGENCIA</t>
        </is>
      </c>
      <c r="R51" s="18" t="inlineStr">
        <is>
          <t>MINI GRANJAS</t>
        </is>
      </c>
      <c r="S51" s="18" t="inlineStr">
        <is>
          <t>3622</t>
        </is>
      </c>
      <c r="T51" s="18" t="inlineStr">
        <is>
          <t>Estructura y soportería solar</t>
        </is>
      </c>
    </row>
    <row r="52">
      <c r="A52" s="42" t="n">
        <v>46146.63587962963</v>
      </c>
      <c r="B52" s="16" t="n">
        <v>2825</v>
      </c>
      <c r="C52" s="16" t="n">
        <v>2106</v>
      </c>
      <c r="D52" s="16" t="inlineStr">
        <is>
          <t>CERRADA</t>
        </is>
      </c>
      <c r="E52" s="16" t="inlineStr">
        <is>
          <t>PAGADA</t>
        </is>
      </c>
      <c r="F52" s="16" t="inlineStr">
        <is>
          <t>Set (Civil) Suministro</t>
        </is>
      </c>
      <c r="G52" s="16" t="inlineStr">
        <is>
          <t>Set (Civil) Servicio</t>
        </is>
      </c>
      <c r="H52" s="16" t="inlineStr">
        <is>
          <t>SOLDADURA PVC VERDEV 1/4 (S-29)  UND GERFOR - UND</t>
        </is>
      </c>
      <c r="I52" s="43" t="n">
        <v>1</v>
      </c>
      <c r="J52" s="44" t="n">
        <v>56923</v>
      </c>
      <c r="K52" s="44" t="n">
        <v>56923</v>
      </c>
      <c r="L52" s="16" t="inlineStr"/>
      <c r="M52" s="44" t="n">
        <v>0</v>
      </c>
      <c r="N52" s="44">
        <f>K52+M52</f>
        <v/>
      </c>
      <c r="O52" s="16" t="inlineStr">
        <is>
          <t>LAURA SOFIA SALAS ROSERO</t>
        </is>
      </c>
      <c r="P52" s="16" t="inlineStr">
        <is>
          <t>AURA MIREY BURBANO DAZA (FERROMAC)</t>
        </is>
      </c>
      <c r="Q52" s="16" t="inlineStr">
        <is>
          <t>URGENCIA</t>
        </is>
      </c>
      <c r="R52" s="16" t="inlineStr">
        <is>
          <t>MINI GRANJAS</t>
        </is>
      </c>
      <c r="S52" s="16" t="inlineStr">
        <is>
          <t>3622</t>
        </is>
      </c>
      <c r="T52" s="16" t="inlineStr">
        <is>
          <t>Otros / sin clasificar</t>
        </is>
      </c>
    </row>
    <row r="53">
      <c r="A53" s="45" t="n">
        <v>46146.63587962963</v>
      </c>
      <c r="B53" s="18" t="n">
        <v>2825</v>
      </c>
      <c r="C53" s="18" t="n">
        <v>2106</v>
      </c>
      <c r="D53" s="18" t="inlineStr">
        <is>
          <t>CERRADA</t>
        </is>
      </c>
      <c r="E53" s="18" t="inlineStr">
        <is>
          <t>PAGADA</t>
        </is>
      </c>
      <c r="F53" s="18" t="inlineStr">
        <is>
          <t>Set (Civil) Suministro</t>
        </is>
      </c>
      <c r="G53" s="18" t="inlineStr">
        <is>
          <t>Set (Civil) Servicio</t>
        </is>
      </c>
      <c r="H53" s="18" t="inlineStr">
        <is>
          <t>SUPERBOARD ESTANDAR 1220X2440X6MM (DP)  UND SUPERBOAR - UND</t>
        </is>
      </c>
      <c r="I53" s="46" t="n">
        <v>20</v>
      </c>
      <c r="J53" s="47" t="n">
        <v>72000</v>
      </c>
      <c r="K53" s="47" t="n">
        <v>1440000</v>
      </c>
      <c r="L53" s="18" t="inlineStr"/>
      <c r="M53" s="47" t="n">
        <v>0</v>
      </c>
      <c r="N53" s="47">
        <f>K53+M53</f>
        <v/>
      </c>
      <c r="O53" s="18" t="inlineStr">
        <is>
          <t>LAURA SOFIA SALAS ROSERO</t>
        </is>
      </c>
      <c r="P53" s="18" t="inlineStr">
        <is>
          <t>AURA MIREY BURBANO DAZA (FERROMAC)</t>
        </is>
      </c>
      <c r="Q53" s="18" t="inlineStr">
        <is>
          <t>URGENCIA</t>
        </is>
      </c>
      <c r="R53" s="18" t="inlineStr">
        <is>
          <t>MINI GRANJAS</t>
        </is>
      </c>
      <c r="S53" s="18" t="inlineStr">
        <is>
          <t>3622</t>
        </is>
      </c>
      <c r="T53" s="18" t="inlineStr">
        <is>
          <t>Estructura y soportería solar</t>
        </is>
      </c>
    </row>
    <row r="54">
      <c r="A54" s="42" t="n">
        <v>46146.39469907407</v>
      </c>
      <c r="B54" s="16" t="n">
        <v>2808</v>
      </c>
      <c r="C54" s="16" t="n">
        <v>2090</v>
      </c>
      <c r="D54" s="16" t="inlineStr">
        <is>
          <t>CERRADA</t>
        </is>
      </c>
      <c r="E54" s="16" t="inlineStr">
        <is>
          <t>PAGADA</t>
        </is>
      </c>
      <c r="F54" s="16" t="inlineStr">
        <is>
          <t>Servicio</t>
        </is>
      </c>
      <c r="G54" s="16" t="inlineStr">
        <is>
          <t>Set (Electrico)Servicio</t>
        </is>
      </c>
      <c r="H54" s="16" t="inlineStr">
        <is>
          <t>SERVICIO DE COMISIONAMIENTO Y ACOMPAÑAMIENTO EN LA ENERGIZACIÓN - UND</t>
        </is>
      </c>
      <c r="I54" s="43" t="n">
        <v>1</v>
      </c>
      <c r="J54" s="44" t="n">
        <v>3629842</v>
      </c>
      <c r="K54" s="44" t="n">
        <v>3629842</v>
      </c>
      <c r="L54" s="16" t="inlineStr">
        <is>
          <t>IVA 19%</t>
        </is>
      </c>
      <c r="M54" s="44" t="n">
        <v>689669</v>
      </c>
      <c r="N54" s="44">
        <f>K54+M54</f>
        <v/>
      </c>
      <c r="O54" s="16" t="inlineStr">
        <is>
          <t>LAURA SOFIA SALAS ROSERO</t>
        </is>
      </c>
      <c r="P54" s="16" t="inlineStr">
        <is>
          <t>NACIONAL DE TRANSFORMADORES S.A.S (TESLA)</t>
        </is>
      </c>
      <c r="Q54" s="16" t="inlineStr">
        <is>
          <t>URGENCIA</t>
        </is>
      </c>
      <c r="R54" s="16" t="inlineStr">
        <is>
          <t>MINI GRANJAS</t>
        </is>
      </c>
      <c r="S54" s="16" t="inlineStr">
        <is>
          <t>V001-2-008</t>
        </is>
      </c>
      <c r="T54" s="16" t="inlineStr">
        <is>
          <t>Servicios de obra e ingeniería</t>
        </is>
      </c>
    </row>
    <row r="55">
      <c r="A55" s="45" t="n">
        <v>46141.70461805556</v>
      </c>
      <c r="B55" s="18" t="n">
        <v>2805</v>
      </c>
      <c r="C55" s="18" t="n">
        <v>2071</v>
      </c>
      <c r="D55" s="18" t="inlineStr">
        <is>
          <t>CERRADA</t>
        </is>
      </c>
      <c r="E55" s="18" t="inlineStr">
        <is>
          <t>PAGADA</t>
        </is>
      </c>
      <c r="F55" s="18" t="inlineStr">
        <is>
          <t>Servicio</t>
        </is>
      </c>
      <c r="G55" s="18" t="inlineStr">
        <is>
          <t>Logística Viáticos</t>
        </is>
      </c>
      <c r="H55" s="18" t="inlineStr">
        <is>
          <t>SERVICIO DE RESTAURANTE - UND</t>
        </is>
      </c>
      <c r="I55" s="46" t="n">
        <v>37</v>
      </c>
      <c r="J55" s="47" t="n">
        <v>10362.69</v>
      </c>
      <c r="K55" s="47" t="n">
        <v>383419.53</v>
      </c>
      <c r="L55" s="18" t="inlineStr"/>
      <c r="M55" s="47" t="n">
        <v>0</v>
      </c>
      <c r="N55" s="47">
        <f>K55+M55</f>
        <v/>
      </c>
      <c r="O55" s="18" t="inlineStr">
        <is>
          <t>LAURA SOFIA SALAS ROSERO</t>
        </is>
      </c>
      <c r="P55" s="18" t="inlineStr">
        <is>
          <t>MAYERLINE TOBAR GOMEZ</t>
        </is>
      </c>
      <c r="Q55" s="18" t="inlineStr">
        <is>
          <t>PLANEADA</t>
        </is>
      </c>
      <c r="R55" s="18" t="inlineStr">
        <is>
          <t>MINI GRANJAS</t>
        </is>
      </c>
      <c r="S55" s="18" t="inlineStr">
        <is>
          <t>FE 1672</t>
        </is>
      </c>
      <c r="T55" s="18" t="inlineStr">
        <is>
          <t>Viáticos - Alimentación</t>
        </is>
      </c>
    </row>
    <row r="56">
      <c r="A56" s="42" t="n">
        <v>46141.70461805556</v>
      </c>
      <c r="B56" s="16" t="n">
        <v>2805</v>
      </c>
      <c r="C56" s="16" t="n">
        <v>2071</v>
      </c>
      <c r="D56" s="16" t="inlineStr">
        <is>
          <t>CERRADA</t>
        </is>
      </c>
      <c r="E56" s="16" t="inlineStr">
        <is>
          <t>PAGADA</t>
        </is>
      </c>
      <c r="F56" s="16" t="inlineStr">
        <is>
          <t>Servicio</t>
        </is>
      </c>
      <c r="G56" s="16" t="inlineStr">
        <is>
          <t>Logística Viáticos</t>
        </is>
      </c>
      <c r="H56" s="16" t="inlineStr">
        <is>
          <t>SERVICIO DE RESTAURANTE - UND</t>
        </is>
      </c>
      <c r="I56" s="43" t="n">
        <v>72</v>
      </c>
      <c r="J56" s="44" t="n">
        <v>13471.51</v>
      </c>
      <c r="K56" s="44" t="n">
        <v>969948.72</v>
      </c>
      <c r="L56" s="16" t="inlineStr"/>
      <c r="M56" s="44" t="n">
        <v>0</v>
      </c>
      <c r="N56" s="44">
        <f>K56+M56</f>
        <v/>
      </c>
      <c r="O56" s="16" t="inlineStr">
        <is>
          <t>LAURA SOFIA SALAS ROSERO</t>
        </is>
      </c>
      <c r="P56" s="16" t="inlineStr">
        <is>
          <t>MAYERLINE TOBAR GOMEZ</t>
        </is>
      </c>
      <c r="Q56" s="16" t="inlineStr">
        <is>
          <t>PLANEADA</t>
        </is>
      </c>
      <c r="R56" s="16" t="inlineStr">
        <is>
          <t>MINI GRANJAS</t>
        </is>
      </c>
      <c r="S56" s="16" t="inlineStr">
        <is>
          <t>FE 1672</t>
        </is>
      </c>
      <c r="T56" s="16" t="inlineStr">
        <is>
          <t>Viáticos - Alimentación</t>
        </is>
      </c>
    </row>
    <row r="57">
      <c r="A57" s="45" t="n">
        <v>46141.69771990741</v>
      </c>
      <c r="B57" s="18" t="n">
        <v>2802</v>
      </c>
      <c r="C57" s="18" t="n">
        <v>2074</v>
      </c>
      <c r="D57" s="18" t="inlineStr">
        <is>
          <t>CERRADA</t>
        </is>
      </c>
      <c r="E57" s="18" t="inlineStr">
        <is>
          <t>PAGADA</t>
        </is>
      </c>
      <c r="F57" s="18" t="inlineStr">
        <is>
          <t>Servicio</t>
        </is>
      </c>
      <c r="G57" s="18" t="inlineStr">
        <is>
          <t>Logística Viáticos</t>
        </is>
      </c>
      <c r="H57" s="18" t="inlineStr">
        <is>
          <t>SERVICIO DE HOTEL - UND</t>
        </is>
      </c>
      <c r="I57" s="46" t="n">
        <v>1</v>
      </c>
      <c r="J57" s="47" t="n">
        <v>518134.72</v>
      </c>
      <c r="K57" s="47" t="n">
        <v>518134.72</v>
      </c>
      <c r="L57" s="18" t="inlineStr"/>
      <c r="M57" s="47" t="n">
        <v>0</v>
      </c>
      <c r="N57" s="47">
        <f>K57+M57</f>
        <v/>
      </c>
      <c r="O57" s="18" t="inlineStr">
        <is>
          <t>LAURA SOFIA SALAS ROSERO</t>
        </is>
      </c>
      <c r="P57" s="18" t="inlineStr">
        <is>
          <t>MAYERLINE TOBAR GOMEZ</t>
        </is>
      </c>
      <c r="Q57" s="18" t="inlineStr">
        <is>
          <t>PLANEADA</t>
        </is>
      </c>
      <c r="R57" s="18" t="inlineStr">
        <is>
          <t>MINI GRANJAS</t>
        </is>
      </c>
      <c r="S57" s="18" t="inlineStr">
        <is>
          <t>FE 1681</t>
        </is>
      </c>
      <c r="T57" s="18" t="inlineStr">
        <is>
          <t>Viáticos - Hospedaje</t>
        </is>
      </c>
    </row>
    <row r="58">
      <c r="A58" s="42" t="n">
        <v>46141.69771990741</v>
      </c>
      <c r="B58" s="16" t="n">
        <v>2802</v>
      </c>
      <c r="C58" s="16" t="n">
        <v>2074</v>
      </c>
      <c r="D58" s="16" t="inlineStr">
        <is>
          <t>CERRADA</t>
        </is>
      </c>
      <c r="E58" s="16" t="inlineStr">
        <is>
          <t>PAGADA</t>
        </is>
      </c>
      <c r="F58" s="16" t="inlineStr">
        <is>
          <t>Servicio</t>
        </is>
      </c>
      <c r="G58" s="16" t="inlineStr">
        <is>
          <t>Logística Viáticos</t>
        </is>
      </c>
      <c r="H58" s="16" t="inlineStr">
        <is>
          <t>SERVICIO DE HOTEL - UND</t>
        </is>
      </c>
      <c r="I58" s="43" t="n">
        <v>1</v>
      </c>
      <c r="J58" s="44" t="n">
        <v>621761.66</v>
      </c>
      <c r="K58" s="44" t="n">
        <v>621761.66</v>
      </c>
      <c r="L58" s="16" t="inlineStr"/>
      <c r="M58" s="44" t="n">
        <v>0</v>
      </c>
      <c r="N58" s="44">
        <f>K58+M58</f>
        <v/>
      </c>
      <c r="O58" s="16" t="inlineStr">
        <is>
          <t>LAURA SOFIA SALAS ROSERO</t>
        </is>
      </c>
      <c r="P58" s="16" t="inlineStr">
        <is>
          <t>MAYERLINE TOBAR GOMEZ</t>
        </is>
      </c>
      <c r="Q58" s="16" t="inlineStr">
        <is>
          <t>PLANEADA</t>
        </is>
      </c>
      <c r="R58" s="16" t="inlineStr">
        <is>
          <t>MINI GRANJAS</t>
        </is>
      </c>
      <c r="S58" s="16" t="inlineStr">
        <is>
          <t>FE 1681</t>
        </is>
      </c>
      <c r="T58" s="16" t="inlineStr">
        <is>
          <t>Viáticos - Hospedaje</t>
        </is>
      </c>
    </row>
    <row r="59">
      <c r="A59" s="45" t="n">
        <v>46139.56837962963</v>
      </c>
      <c r="B59" s="18" t="n">
        <v>2763</v>
      </c>
      <c r="C59" s="18" t="n">
        <v>2056</v>
      </c>
      <c r="D59" s="18" t="inlineStr">
        <is>
          <t>CERRADA</t>
        </is>
      </c>
      <c r="E59" s="18" t="inlineStr">
        <is>
          <t>PAGADA</t>
        </is>
      </c>
      <c r="F59" s="18" t="inlineStr">
        <is>
          <t>Servicio</t>
        </is>
      </c>
      <c r="G59" s="18" t="inlineStr">
        <is>
          <t>Descargues</t>
        </is>
      </c>
      <c r="H59" s="18" t="inlineStr">
        <is>
          <t>MONTACARGAS - UND</t>
        </is>
      </c>
      <c r="I59" s="46" t="n">
        <v>1</v>
      </c>
      <c r="J59" s="47" t="n">
        <v>21000000</v>
      </c>
      <c r="K59" s="47" t="n">
        <v>21000000</v>
      </c>
      <c r="L59" s="18" t="inlineStr"/>
      <c r="M59" s="47" t="n">
        <v>0</v>
      </c>
      <c r="N59" s="47">
        <f>K59+M59</f>
        <v/>
      </c>
      <c r="O59" s="18" t="inlineStr">
        <is>
          <t>LAURA SOFIA SALAS ROSERO</t>
        </is>
      </c>
      <c r="P59" s="18" t="inlineStr">
        <is>
          <t>JASSON ALBEIRO VALENCIA ROSERO</t>
        </is>
      </c>
      <c r="Q59" s="18" t="inlineStr">
        <is>
          <t>PLANEADA</t>
        </is>
      </c>
      <c r="R59" s="18" t="inlineStr">
        <is>
          <t>MINI GRANJAS</t>
        </is>
      </c>
      <c r="S59" s="18" t="inlineStr">
        <is>
          <t>FEV30</t>
        </is>
      </c>
      <c r="T59" s="18" t="inlineStr">
        <is>
          <t>Fletes y transporte de carga</t>
        </is>
      </c>
    </row>
    <row r="60">
      <c r="A60" s="42" t="n">
        <v>46134.64243055556</v>
      </c>
      <c r="B60" s="16" t="n">
        <v>2731</v>
      </c>
      <c r="C60" s="16" t="n">
        <v>2039</v>
      </c>
      <c r="D60" s="16" t="inlineStr">
        <is>
          <t>GENERADA</t>
        </is>
      </c>
      <c r="E60" s="16" t="inlineStr">
        <is>
          <t>PENDIENTE</t>
        </is>
      </c>
      <c r="F60" s="16" t="inlineStr">
        <is>
          <t>Set (Electrico) Suministro</t>
        </is>
      </c>
      <c r="G60" s="16" t="inlineStr">
        <is>
          <t>(Sin Subgrupo)</t>
        </is>
      </c>
      <c r="H60" s="16" t="inlineStr">
        <is>
          <t>TERMINAL TIPO FERRUL 10 AWG - UND</t>
        </is>
      </c>
      <c r="I60" s="43" t="n">
        <v>300</v>
      </c>
      <c r="J60" s="44" t="n">
        <v>93.17</v>
      </c>
      <c r="K60" s="44" t="n">
        <v>27951</v>
      </c>
      <c r="L60" s="16" t="inlineStr">
        <is>
          <t>IVA 19%</t>
        </is>
      </c>
      <c r="M60" s="44" t="n">
        <v>5310</v>
      </c>
      <c r="N60" s="44">
        <f>K60+M60</f>
        <v/>
      </c>
      <c r="O60" s="16" t="inlineStr">
        <is>
          <t>LAURA SOFIA SALAS ROSERO</t>
        </is>
      </c>
      <c r="P60" s="16" t="inlineStr">
        <is>
          <t>ELECTRICOS DEL VALLE SAS</t>
        </is>
      </c>
      <c r="Q60" s="16" t="inlineStr">
        <is>
          <t>PLANEADA</t>
        </is>
      </c>
      <c r="R60" s="16" t="inlineStr">
        <is>
          <t>MINI GRANJAS</t>
        </is>
      </c>
      <c r="S60" s="16" t="inlineStr"/>
      <c r="T60" s="16" t="inlineStr">
        <is>
          <t>Cableado y conductores</t>
        </is>
      </c>
    </row>
    <row r="61">
      <c r="A61" s="45" t="n">
        <v>46134.64243055556</v>
      </c>
      <c r="B61" s="18" t="n">
        <v>2731</v>
      </c>
      <c r="C61" s="18" t="n">
        <v>2039</v>
      </c>
      <c r="D61" s="18" t="inlineStr">
        <is>
          <t>GENERADA</t>
        </is>
      </c>
      <c r="E61" s="18" t="inlineStr">
        <is>
          <t>PENDIENTE</t>
        </is>
      </c>
      <c r="F61" s="18" t="inlineStr">
        <is>
          <t>Set (Electrico) Suministro</t>
        </is>
      </c>
      <c r="G61" s="18" t="inlineStr">
        <is>
          <t>(Sin Subgrupo)</t>
        </is>
      </c>
      <c r="H61" s="18" t="inlineStr">
        <is>
          <t>GRAPA DOBLE ALA 3/4" - UND</t>
        </is>
      </c>
      <c r="I61" s="46" t="n">
        <v>30</v>
      </c>
      <c r="J61" s="47" t="n">
        <v>143.23</v>
      </c>
      <c r="K61" s="47" t="n">
        <v>4296.9</v>
      </c>
      <c r="L61" s="18" t="inlineStr">
        <is>
          <t>IVA 19%</t>
        </is>
      </c>
      <c r="M61" s="47" t="n">
        <v>816</v>
      </c>
      <c r="N61" s="47">
        <f>K61+M61</f>
        <v/>
      </c>
      <c r="O61" s="18" t="inlineStr">
        <is>
          <t>LAURA SOFIA SALAS ROSERO</t>
        </is>
      </c>
      <c r="P61" s="18" t="inlineStr">
        <is>
          <t>ELECTRICOS DEL VALLE SAS</t>
        </is>
      </c>
      <c r="Q61" s="18" t="inlineStr">
        <is>
          <t>PLANEADA</t>
        </is>
      </c>
      <c r="R61" s="18" t="inlineStr">
        <is>
          <t>MINI GRANJAS</t>
        </is>
      </c>
      <c r="S61" s="18" t="inlineStr"/>
      <c r="T61" s="18" t="inlineStr">
        <is>
          <t>Cajas de paso y accesorios</t>
        </is>
      </c>
    </row>
    <row r="62">
      <c r="A62" s="42" t="n">
        <v>46134.64243055556</v>
      </c>
      <c r="B62" s="16" t="n">
        <v>2731</v>
      </c>
      <c r="C62" s="16" t="n">
        <v>2039</v>
      </c>
      <c r="D62" s="16" t="inlineStr">
        <is>
          <t>GENERADA</t>
        </is>
      </c>
      <c r="E62" s="16" t="inlineStr">
        <is>
          <t>PENDIENTE</t>
        </is>
      </c>
      <c r="F62" s="16" t="inlineStr">
        <is>
          <t>Set (Electrico) Suministro</t>
        </is>
      </c>
      <c r="G62" s="16" t="inlineStr">
        <is>
          <t>(Sin Subgrupo)</t>
        </is>
      </c>
      <c r="H62" s="16" t="inlineStr">
        <is>
          <t>GRAPA DOBLE ALA 1/2" - UND</t>
        </is>
      </c>
      <c r="I62" s="43" t="n">
        <v>30</v>
      </c>
      <c r="J62" s="44" t="n">
        <v>157.06</v>
      </c>
      <c r="K62" s="44" t="n">
        <v>4711.8</v>
      </c>
      <c r="L62" s="16" t="inlineStr">
        <is>
          <t>IVA 19%</t>
        </is>
      </c>
      <c r="M62" s="44" t="n">
        <v>895</v>
      </c>
      <c r="N62" s="44">
        <f>K62+M62</f>
        <v/>
      </c>
      <c r="O62" s="16" t="inlineStr">
        <is>
          <t>LAURA SOFIA SALAS ROSERO</t>
        </is>
      </c>
      <c r="P62" s="16" t="inlineStr">
        <is>
          <t>ELECTRICOS DEL VALLE SAS</t>
        </is>
      </c>
      <c r="Q62" s="16" t="inlineStr">
        <is>
          <t>PLANEADA</t>
        </is>
      </c>
      <c r="R62" s="16" t="inlineStr">
        <is>
          <t>MINI GRANJAS</t>
        </is>
      </c>
      <c r="S62" s="16" t="inlineStr"/>
      <c r="T62" s="16" t="inlineStr">
        <is>
          <t>Cajas de paso y accesorios</t>
        </is>
      </c>
    </row>
    <row r="63">
      <c r="A63" s="45" t="n">
        <v>46134.64243055556</v>
      </c>
      <c r="B63" s="18" t="n">
        <v>2731</v>
      </c>
      <c r="C63" s="18" t="n">
        <v>2039</v>
      </c>
      <c r="D63" s="18" t="inlineStr">
        <is>
          <t>GENERADA</t>
        </is>
      </c>
      <c r="E63" s="18" t="inlineStr">
        <is>
          <t>PENDIENTE</t>
        </is>
      </c>
      <c r="F63" s="18" t="inlineStr">
        <is>
          <t>Set (Electrico) Suministro</t>
        </is>
      </c>
      <c r="G63" s="18" t="inlineStr">
        <is>
          <t>(Sin Subgrupo)</t>
        </is>
      </c>
      <c r="H63" s="18" t="inlineStr">
        <is>
          <t>TERMINAL ANILLO AMARILLO 12-10 AWG 1/4 - UND</t>
        </is>
      </c>
      <c r="I63" s="46" t="n">
        <v>15</v>
      </c>
      <c r="J63" s="47" t="n">
        <v>274.53</v>
      </c>
      <c r="K63" s="47" t="n">
        <v>4117.95</v>
      </c>
      <c r="L63" s="18" t="inlineStr">
        <is>
          <t>IVA 19%</t>
        </is>
      </c>
      <c r="M63" s="47" t="n">
        <v>782</v>
      </c>
      <c r="N63" s="47">
        <f>K63+M63</f>
        <v/>
      </c>
      <c r="O63" s="18" t="inlineStr">
        <is>
          <t>LAURA SOFIA SALAS ROSERO</t>
        </is>
      </c>
      <c r="P63" s="18" t="inlineStr">
        <is>
          <t>ELECTRICOS DEL VALLE SAS</t>
        </is>
      </c>
      <c r="Q63" s="18" t="inlineStr">
        <is>
          <t>PLANEADA</t>
        </is>
      </c>
      <c r="R63" s="18" t="inlineStr">
        <is>
          <t>MINI GRANJAS</t>
        </is>
      </c>
      <c r="S63" s="18" t="inlineStr"/>
      <c r="T63" s="18" t="inlineStr">
        <is>
          <t>Cableado y conductores</t>
        </is>
      </c>
    </row>
    <row r="64">
      <c r="A64" s="42" t="n">
        <v>46134.64243055556</v>
      </c>
      <c r="B64" s="16" t="n">
        <v>2731</v>
      </c>
      <c r="C64" s="16" t="n">
        <v>2039</v>
      </c>
      <c r="D64" s="16" t="inlineStr">
        <is>
          <t>GENERADA</t>
        </is>
      </c>
      <c r="E64" s="16" t="inlineStr">
        <is>
          <t>PENDIENTE</t>
        </is>
      </c>
      <c r="F64" s="16" t="inlineStr">
        <is>
          <t>Set (Electrico) Suministro</t>
        </is>
      </c>
      <c r="G64" s="16" t="inlineStr">
        <is>
          <t>(Sin Subgrupo)</t>
        </is>
      </c>
      <c r="H64" s="16" t="inlineStr">
        <is>
          <t>CHAZO BALA 3/8" - UND</t>
        </is>
      </c>
      <c r="I64" s="43" t="n">
        <v>50</v>
      </c>
      <c r="J64" s="44" t="n">
        <v>291.84</v>
      </c>
      <c r="K64" s="44" t="n">
        <v>14592</v>
      </c>
      <c r="L64" s="16" t="inlineStr">
        <is>
          <t>IVA 19%</t>
        </is>
      </c>
      <c r="M64" s="44" t="n">
        <v>2772</v>
      </c>
      <c r="N64" s="44">
        <f>K64+M64</f>
        <v/>
      </c>
      <c r="O64" s="16" t="inlineStr">
        <is>
          <t>LAURA SOFIA SALAS ROSERO</t>
        </is>
      </c>
      <c r="P64" s="16" t="inlineStr">
        <is>
          <t>ELECTRICOS DEL VALLE SAS</t>
        </is>
      </c>
      <c r="Q64" s="16" t="inlineStr">
        <is>
          <t>PLANEADA</t>
        </is>
      </c>
      <c r="R64" s="16" t="inlineStr">
        <is>
          <t>MINI GRANJAS</t>
        </is>
      </c>
      <c r="S64" s="16" t="inlineStr"/>
      <c r="T64" s="16" t="inlineStr">
        <is>
          <t>Cajas de paso y accesorios</t>
        </is>
      </c>
    </row>
    <row r="65">
      <c r="A65" s="45" t="n">
        <v>46134.64243055556</v>
      </c>
      <c r="B65" s="18" t="n">
        <v>2731</v>
      </c>
      <c r="C65" s="18" t="n">
        <v>2039</v>
      </c>
      <c r="D65" s="18" t="inlineStr">
        <is>
          <t>GENERADA</t>
        </is>
      </c>
      <c r="E65" s="18" t="inlineStr">
        <is>
          <t>PENDIENTE</t>
        </is>
      </c>
      <c r="F65" s="18" t="inlineStr">
        <is>
          <t>Set (Electrico) Suministro</t>
        </is>
      </c>
      <c r="G65" s="18" t="inlineStr">
        <is>
          <t>(Sin Subgrupo)</t>
        </is>
      </c>
      <c r="H65" s="18" t="inlineStr">
        <is>
          <t>TAPA CIEGA 4X4 PVC BLANCA - S/M - UND</t>
        </is>
      </c>
      <c r="I65" s="46" t="n">
        <v>10</v>
      </c>
      <c r="J65" s="47" t="n">
        <v>490.5</v>
      </c>
      <c r="K65" s="47" t="n">
        <v>4905</v>
      </c>
      <c r="L65" s="18" t="inlineStr">
        <is>
          <t>IVA 19%</t>
        </is>
      </c>
      <c r="M65" s="47" t="n">
        <v>931</v>
      </c>
      <c r="N65" s="47">
        <f>K65+M65</f>
        <v/>
      </c>
      <c r="O65" s="18" t="inlineStr">
        <is>
          <t>LAURA SOFIA SALAS ROSERO</t>
        </is>
      </c>
      <c r="P65" s="18" t="inlineStr">
        <is>
          <t>ELECTRICOS DEL VALLE SAS</t>
        </is>
      </c>
      <c r="Q65" s="18" t="inlineStr">
        <is>
          <t>PLANEADA</t>
        </is>
      </c>
      <c r="R65" s="18" t="inlineStr">
        <is>
          <t>MINI GRANJAS</t>
        </is>
      </c>
      <c r="S65" s="18" t="inlineStr"/>
      <c r="T65" s="18" t="inlineStr">
        <is>
          <t>Cajas de paso y accesorios</t>
        </is>
      </c>
    </row>
    <row r="66">
      <c r="A66" s="42" t="n">
        <v>46134.64243055556</v>
      </c>
      <c r="B66" s="16" t="n">
        <v>2731</v>
      </c>
      <c r="C66" s="16" t="n">
        <v>2039</v>
      </c>
      <c r="D66" s="16" t="inlineStr">
        <is>
          <t>GENERADA</t>
        </is>
      </c>
      <c r="E66" s="16" t="inlineStr">
        <is>
          <t>PENDIENTE</t>
        </is>
      </c>
      <c r="F66" s="16" t="inlineStr">
        <is>
          <t>Set (Electrico) Suministro</t>
        </is>
      </c>
      <c r="G66" s="16" t="inlineStr">
        <is>
          <t>(Sin Subgrupo)</t>
        </is>
      </c>
      <c r="H66" s="16" t="inlineStr">
        <is>
          <t>UNION 1/2" IMC GALVANIZADA E.V SOLUTIONS 1301-RL-860 - UND</t>
        </is>
      </c>
      <c r="I66" s="43" t="n">
        <v>2</v>
      </c>
      <c r="J66" s="44" t="n">
        <v>498</v>
      </c>
      <c r="K66" s="44" t="n">
        <v>996</v>
      </c>
      <c r="L66" s="16" t="inlineStr">
        <is>
          <t>IVA 19%</t>
        </is>
      </c>
      <c r="M66" s="44" t="n">
        <v>189</v>
      </c>
      <c r="N66" s="44">
        <f>K66+M66</f>
        <v/>
      </c>
      <c r="O66" s="16" t="inlineStr">
        <is>
          <t>LAURA SOFIA SALAS ROSERO</t>
        </is>
      </c>
      <c r="P66" s="16" t="inlineStr">
        <is>
          <t>ELECTRICOS DEL VALLE SAS</t>
        </is>
      </c>
      <c r="Q66" s="16" t="inlineStr">
        <is>
          <t>PLANEADA</t>
        </is>
      </c>
      <c r="R66" s="16" t="inlineStr">
        <is>
          <t>MINI GRANJAS</t>
        </is>
      </c>
      <c r="S66" s="16" t="inlineStr"/>
      <c r="T66" s="16" t="inlineStr">
        <is>
          <t>Otros / sin clasificar</t>
        </is>
      </c>
    </row>
    <row r="67">
      <c r="A67" s="45" t="n">
        <v>46134.64243055556</v>
      </c>
      <c r="B67" s="18" t="n">
        <v>2731</v>
      </c>
      <c r="C67" s="18" t="n">
        <v>2039</v>
      </c>
      <c r="D67" s="18" t="inlineStr">
        <is>
          <t>GENERADA</t>
        </is>
      </c>
      <c r="E67" s="18" t="inlineStr">
        <is>
          <t>PENDIENTE</t>
        </is>
      </c>
      <c r="F67" s="18" t="inlineStr">
        <is>
          <t>Set (Electrico) Suministro</t>
        </is>
      </c>
      <c r="G67" s="18" t="inlineStr">
        <is>
          <t>(Sin Subgrupo)</t>
        </is>
      </c>
      <c r="H67" s="18" t="inlineStr">
        <is>
          <t>TAPA PLASTICA PARA TOMA DOBLE BLANCA - UND</t>
        </is>
      </c>
      <c r="I67" s="46" t="n">
        <v>2</v>
      </c>
      <c r="J67" s="47" t="n">
        <v>561</v>
      </c>
      <c r="K67" s="47" t="n">
        <v>1122</v>
      </c>
      <c r="L67" s="18" t="inlineStr">
        <is>
          <t>IVA 19%</t>
        </is>
      </c>
      <c r="M67" s="47" t="n">
        <v>213</v>
      </c>
      <c r="N67" s="47">
        <f>K67+M67</f>
        <v/>
      </c>
      <c r="O67" s="18" t="inlineStr">
        <is>
          <t>LAURA SOFIA SALAS ROSERO</t>
        </is>
      </c>
      <c r="P67" s="18" t="inlineStr">
        <is>
          <t>ELECTRICOS DEL VALLE SAS</t>
        </is>
      </c>
      <c r="Q67" s="18" t="inlineStr">
        <is>
          <t>PLANEADA</t>
        </is>
      </c>
      <c r="R67" s="18" t="inlineStr">
        <is>
          <t>MINI GRANJAS</t>
        </is>
      </c>
      <c r="S67" s="18" t="inlineStr"/>
      <c r="T67" s="18" t="inlineStr">
        <is>
          <t>Cajas de paso y accesorios</t>
        </is>
      </c>
    </row>
    <row r="68">
      <c r="A68" s="42" t="n">
        <v>46134.64243055556</v>
      </c>
      <c r="B68" s="16" t="n">
        <v>2731</v>
      </c>
      <c r="C68" s="16" t="n">
        <v>2039</v>
      </c>
      <c r="D68" s="16" t="inlineStr">
        <is>
          <t>GENERADA</t>
        </is>
      </c>
      <c r="E68" s="16" t="inlineStr">
        <is>
          <t>PENDIENTE</t>
        </is>
      </c>
      <c r="F68" s="16" t="inlineStr">
        <is>
          <t>Set (Electrico) Suministro</t>
        </is>
      </c>
      <c r="G68" s="16" t="inlineStr">
        <is>
          <t>(Sin Subgrupo)</t>
        </is>
      </c>
      <c r="H68" s="16" t="inlineStr">
        <is>
          <t>CAJA 4X4 PLASTICA DOBLE  CP4X4 CERT -270 TERCOL - UND</t>
        </is>
      </c>
      <c r="I68" s="43" t="n">
        <v>2</v>
      </c>
      <c r="J68" s="44" t="n">
        <v>580.5</v>
      </c>
      <c r="K68" s="44" t="n">
        <v>1161</v>
      </c>
      <c r="L68" s="16" t="inlineStr">
        <is>
          <t>IVA 19%</t>
        </is>
      </c>
      <c r="M68" s="44" t="n">
        <v>220</v>
      </c>
      <c r="N68" s="44">
        <f>K68+M68</f>
        <v/>
      </c>
      <c r="O68" s="16" t="inlineStr">
        <is>
          <t>LAURA SOFIA SALAS ROSERO</t>
        </is>
      </c>
      <c r="P68" s="16" t="inlineStr">
        <is>
          <t>ELECTRICOS DEL VALLE SAS</t>
        </is>
      </c>
      <c r="Q68" s="16" t="inlineStr">
        <is>
          <t>PLANEADA</t>
        </is>
      </c>
      <c r="R68" s="16" t="inlineStr">
        <is>
          <t>MINI GRANJAS</t>
        </is>
      </c>
      <c r="S68" s="16" t="inlineStr"/>
      <c r="T68" s="16" t="inlineStr">
        <is>
          <t>Cajas de paso y accesorios</t>
        </is>
      </c>
    </row>
    <row r="69">
      <c r="A69" s="45" t="n">
        <v>46134.64243055556</v>
      </c>
      <c r="B69" s="18" t="n">
        <v>2731</v>
      </c>
      <c r="C69" s="18" t="n">
        <v>2039</v>
      </c>
      <c r="D69" s="18" t="inlineStr">
        <is>
          <t>GENERADA</t>
        </is>
      </c>
      <c r="E69" s="18" t="inlineStr">
        <is>
          <t>PENDIENTE</t>
        </is>
      </c>
      <c r="F69" s="18" t="inlineStr">
        <is>
          <t>Set (Electrico) Suministro</t>
        </is>
      </c>
      <c r="G69" s="18" t="inlineStr">
        <is>
          <t>(Sin Subgrupo)</t>
        </is>
      </c>
      <c r="H69" s="18" t="inlineStr">
        <is>
          <t>UNION 1/2" EMT ACERO E.V - UND</t>
        </is>
      </c>
      <c r="I69" s="46" t="n">
        <v>25</v>
      </c>
      <c r="J69" s="47" t="n">
        <v>586.76</v>
      </c>
      <c r="K69" s="47" t="n">
        <v>14669</v>
      </c>
      <c r="L69" s="18" t="inlineStr">
        <is>
          <t>IVA 19%</t>
        </is>
      </c>
      <c r="M69" s="47" t="n">
        <v>2787</v>
      </c>
      <c r="N69" s="47">
        <f>K69+M69</f>
        <v/>
      </c>
      <c r="O69" s="18" t="inlineStr">
        <is>
          <t>LAURA SOFIA SALAS ROSERO</t>
        </is>
      </c>
      <c r="P69" s="18" t="inlineStr">
        <is>
          <t>ELECTRICOS DEL VALLE SAS</t>
        </is>
      </c>
      <c r="Q69" s="18" t="inlineStr">
        <is>
          <t>PLANEADA</t>
        </is>
      </c>
      <c r="R69" s="18" t="inlineStr">
        <is>
          <t>MINI GRANJAS</t>
        </is>
      </c>
      <c r="S69" s="18" t="inlineStr"/>
      <c r="T69" s="18" t="inlineStr">
        <is>
          <t>Otros / sin clasificar</t>
        </is>
      </c>
    </row>
    <row r="70">
      <c r="A70" s="42" t="n">
        <v>46134.64243055556</v>
      </c>
      <c r="B70" s="16" t="n">
        <v>2731</v>
      </c>
      <c r="C70" s="16" t="n">
        <v>2039</v>
      </c>
      <c r="D70" s="16" t="inlineStr">
        <is>
          <t>GENERADA</t>
        </is>
      </c>
      <c r="E70" s="16" t="inlineStr">
        <is>
          <t>PENDIENTE</t>
        </is>
      </c>
      <c r="F70" s="16" t="inlineStr">
        <is>
          <t>Set (Electrico) Suministro</t>
        </is>
      </c>
      <c r="G70" s="16" t="inlineStr">
        <is>
          <t>(Sin Subgrupo)</t>
        </is>
      </c>
      <c r="H70" s="16" t="inlineStr">
        <is>
          <t>UNION 3/4" IMC GALVANIZADA - UND</t>
        </is>
      </c>
      <c r="I70" s="43" t="n">
        <v>2</v>
      </c>
      <c r="J70" s="44" t="n">
        <v>664.5</v>
      </c>
      <c r="K70" s="44" t="n">
        <v>1329</v>
      </c>
      <c r="L70" s="16" t="inlineStr">
        <is>
          <t>IVA 19%</t>
        </is>
      </c>
      <c r="M70" s="44" t="n">
        <v>252</v>
      </c>
      <c r="N70" s="44">
        <f>K70+M70</f>
        <v/>
      </c>
      <c r="O70" s="16" t="inlineStr">
        <is>
          <t>LAURA SOFIA SALAS ROSERO</t>
        </is>
      </c>
      <c r="P70" s="16" t="inlineStr">
        <is>
          <t>ELECTRICOS DEL VALLE SAS</t>
        </is>
      </c>
      <c r="Q70" s="16" t="inlineStr">
        <is>
          <t>PLANEADA</t>
        </is>
      </c>
      <c r="R70" s="16" t="inlineStr">
        <is>
          <t>MINI GRANJAS</t>
        </is>
      </c>
      <c r="S70" s="16" t="inlineStr"/>
      <c r="T70" s="16" t="inlineStr">
        <is>
          <t>Otros / sin clasificar</t>
        </is>
      </c>
    </row>
    <row r="71">
      <c r="A71" s="45" t="n">
        <v>46134.64243055556</v>
      </c>
      <c r="B71" s="18" t="n">
        <v>2731</v>
      </c>
      <c r="C71" s="18" t="n">
        <v>2039</v>
      </c>
      <c r="D71" s="18" t="inlineStr">
        <is>
          <t>GENERADA</t>
        </is>
      </c>
      <c r="E71" s="18" t="inlineStr">
        <is>
          <t>PENDIENTE</t>
        </is>
      </c>
      <c r="F71" s="18" t="inlineStr">
        <is>
          <t>Set (Electrico) Suministro</t>
        </is>
      </c>
      <c r="G71" s="18" t="inlineStr">
        <is>
          <t>(Sin Subgrupo)</t>
        </is>
      </c>
      <c r="H71" s="18" t="inlineStr">
        <is>
          <t>ADAPTADOR 1/2"EMT - UND</t>
        </is>
      </c>
      <c r="I71" s="46" t="n">
        <v>20</v>
      </c>
      <c r="J71" s="47" t="n">
        <v>673</v>
      </c>
      <c r="K71" s="47" t="n">
        <v>13460</v>
      </c>
      <c r="L71" s="18" t="inlineStr">
        <is>
          <t>IVA 19%</t>
        </is>
      </c>
      <c r="M71" s="47" t="n">
        <v>2557</v>
      </c>
      <c r="N71" s="47">
        <f>K71+M71</f>
        <v/>
      </c>
      <c r="O71" s="18" t="inlineStr">
        <is>
          <t>LAURA SOFIA SALAS ROSERO</t>
        </is>
      </c>
      <c r="P71" s="18" t="inlineStr">
        <is>
          <t>ELECTRICOS DEL VALLE SAS</t>
        </is>
      </c>
      <c r="Q71" s="18" t="inlineStr">
        <is>
          <t>PLANEADA</t>
        </is>
      </c>
      <c r="R71" s="18" t="inlineStr">
        <is>
          <t>MINI GRANJAS</t>
        </is>
      </c>
      <c r="S71" s="18" t="inlineStr"/>
      <c r="T71" s="18" t="inlineStr">
        <is>
          <t>Canalización y tubería</t>
        </is>
      </c>
    </row>
    <row r="72">
      <c r="A72" s="42" t="n">
        <v>46134.64243055556</v>
      </c>
      <c r="B72" s="16" t="n">
        <v>2731</v>
      </c>
      <c r="C72" s="16" t="n">
        <v>2039</v>
      </c>
      <c r="D72" s="16" t="inlineStr">
        <is>
          <t>GENERADA</t>
        </is>
      </c>
      <c r="E72" s="16" t="inlineStr">
        <is>
          <t>PENDIENTE</t>
        </is>
      </c>
      <c r="F72" s="16" t="inlineStr">
        <is>
          <t>Set (Electrico) Suministro</t>
        </is>
      </c>
      <c r="G72" s="16" t="inlineStr">
        <is>
          <t>(Sin Subgrupo)</t>
        </is>
      </c>
      <c r="H72" s="16" t="inlineStr">
        <is>
          <t>CURVA 1/2"EMT RANGO LARGO - UND</t>
        </is>
      </c>
      <c r="I72" s="43" t="n">
        <v>10</v>
      </c>
      <c r="J72" s="44" t="n">
        <v>772.3</v>
      </c>
      <c r="K72" s="44" t="n">
        <v>7723</v>
      </c>
      <c r="L72" s="16" t="inlineStr">
        <is>
          <t>IVA 19%</t>
        </is>
      </c>
      <c r="M72" s="44" t="n">
        <v>1467</v>
      </c>
      <c r="N72" s="44">
        <f>K72+M72</f>
        <v/>
      </c>
      <c r="O72" s="16" t="inlineStr">
        <is>
          <t>LAURA SOFIA SALAS ROSERO</t>
        </is>
      </c>
      <c r="P72" s="16" t="inlineStr">
        <is>
          <t>ELECTRICOS DEL VALLE SAS</t>
        </is>
      </c>
      <c r="Q72" s="16" t="inlineStr">
        <is>
          <t>PLANEADA</t>
        </is>
      </c>
      <c r="R72" s="16" t="inlineStr">
        <is>
          <t>MINI GRANJAS</t>
        </is>
      </c>
      <c r="S72" s="16" t="inlineStr"/>
      <c r="T72" s="16" t="inlineStr">
        <is>
          <t>Canalización y tubería</t>
        </is>
      </c>
    </row>
    <row r="73">
      <c r="A73" s="45" t="n">
        <v>46134.64243055556</v>
      </c>
      <c r="B73" s="18" t="n">
        <v>2731</v>
      </c>
      <c r="C73" s="18" t="n">
        <v>2039</v>
      </c>
      <c r="D73" s="18" t="inlineStr">
        <is>
          <t>GENERADA</t>
        </is>
      </c>
      <c r="E73" s="18" t="inlineStr">
        <is>
          <t>PENDIENTE</t>
        </is>
      </c>
      <c r="F73" s="18" t="inlineStr">
        <is>
          <t>Set (Electrico) Suministro</t>
        </is>
      </c>
      <c r="G73" s="18" t="inlineStr">
        <is>
          <t>(Sin Subgrupo)</t>
        </is>
      </c>
      <c r="H73" s="18" t="inlineStr">
        <is>
          <t>UNION 3/4" EMT ACERO UL - UND</t>
        </is>
      </c>
      <c r="I73" s="46" t="n">
        <v>40</v>
      </c>
      <c r="J73" s="47" t="n">
        <v>830.8</v>
      </c>
      <c r="K73" s="47" t="n">
        <v>33232</v>
      </c>
      <c r="L73" s="18" t="inlineStr">
        <is>
          <t>IVA 19%</t>
        </is>
      </c>
      <c r="M73" s="47" t="n">
        <v>6314</v>
      </c>
      <c r="N73" s="47">
        <f>K73+M73</f>
        <v/>
      </c>
      <c r="O73" s="18" t="inlineStr">
        <is>
          <t>LAURA SOFIA SALAS ROSERO</t>
        </is>
      </c>
      <c r="P73" s="18" t="inlineStr">
        <is>
          <t>ELECTRICOS DEL VALLE SAS</t>
        </is>
      </c>
      <c r="Q73" s="18" t="inlineStr">
        <is>
          <t>PLANEADA</t>
        </is>
      </c>
      <c r="R73" s="18" t="inlineStr">
        <is>
          <t>MINI GRANJAS</t>
        </is>
      </c>
      <c r="S73" s="18" t="inlineStr"/>
      <c r="T73" s="18" t="inlineStr">
        <is>
          <t>Otros / sin clasificar</t>
        </is>
      </c>
    </row>
    <row r="74">
      <c r="A74" s="42" t="n">
        <v>46134.64243055556</v>
      </c>
      <c r="B74" s="16" t="n">
        <v>2731</v>
      </c>
      <c r="C74" s="16" t="n">
        <v>2039</v>
      </c>
      <c r="D74" s="16" t="inlineStr">
        <is>
          <t>GENERADA</t>
        </is>
      </c>
      <c r="E74" s="16" t="inlineStr">
        <is>
          <t>PENDIENTE</t>
        </is>
      </c>
      <c r="F74" s="16" t="inlineStr">
        <is>
          <t>Set (Electrico) Suministro</t>
        </is>
      </c>
      <c r="G74" s="16" t="inlineStr">
        <is>
          <t>(Sin Subgrupo)</t>
        </is>
      </c>
      <c r="H74" s="16" t="inlineStr">
        <is>
          <t>ADAPTADOR 3/4" EMT - UND</t>
        </is>
      </c>
      <c r="I74" s="43" t="n">
        <v>40</v>
      </c>
      <c r="J74" s="44" t="n">
        <v>871.65</v>
      </c>
      <c r="K74" s="44" t="n">
        <v>34866</v>
      </c>
      <c r="L74" s="16" t="inlineStr">
        <is>
          <t>IVA 19%</t>
        </is>
      </c>
      <c r="M74" s="44" t="n">
        <v>6624</v>
      </c>
      <c r="N74" s="44">
        <f>K74+M74</f>
        <v/>
      </c>
      <c r="O74" s="16" t="inlineStr">
        <is>
          <t>LAURA SOFIA SALAS ROSERO</t>
        </is>
      </c>
      <c r="P74" s="16" t="inlineStr">
        <is>
          <t>ELECTRICOS DEL VALLE SAS</t>
        </is>
      </c>
      <c r="Q74" s="16" t="inlineStr">
        <is>
          <t>PLANEADA</t>
        </is>
      </c>
      <c r="R74" s="16" t="inlineStr">
        <is>
          <t>MINI GRANJAS</t>
        </is>
      </c>
      <c r="S74" s="16" t="inlineStr"/>
      <c r="T74" s="16" t="inlineStr">
        <is>
          <t>Canalización y tubería</t>
        </is>
      </c>
    </row>
    <row r="75">
      <c r="A75" s="45" t="n">
        <v>46134.64243055556</v>
      </c>
      <c r="B75" s="18" t="n">
        <v>2731</v>
      </c>
      <c r="C75" s="18" t="n">
        <v>2039</v>
      </c>
      <c r="D75" s="18" t="inlineStr">
        <is>
          <t>GENERADA</t>
        </is>
      </c>
      <c r="E75" s="18" t="inlineStr">
        <is>
          <t>PENDIENTE</t>
        </is>
      </c>
      <c r="F75" s="18" t="inlineStr">
        <is>
          <t>Set (Electrico) Suministro</t>
        </is>
      </c>
      <c r="G75" s="18" t="inlineStr">
        <is>
          <t>(Sin Subgrupo)</t>
        </is>
      </c>
      <c r="H75" s="18" t="inlineStr">
        <is>
          <t>AMARRAS 4" PLASTICAS 10CMS 2.5 18LB NEGRO E.V. - UND</t>
        </is>
      </c>
      <c r="I75" s="46" t="n">
        <v>40</v>
      </c>
      <c r="J75" s="47" t="n">
        <v>948.65</v>
      </c>
      <c r="K75" s="47" t="n">
        <v>37946</v>
      </c>
      <c r="L75" s="18" t="inlineStr">
        <is>
          <t>IVA 19%</t>
        </is>
      </c>
      <c r="M75" s="47" t="n">
        <v>7209</v>
      </c>
      <c r="N75" s="47">
        <f>K75+M75</f>
        <v/>
      </c>
      <c r="O75" s="18" t="inlineStr">
        <is>
          <t>LAURA SOFIA SALAS ROSERO</t>
        </is>
      </c>
      <c r="P75" s="18" t="inlineStr">
        <is>
          <t>ELECTRICOS DEL VALLE SAS</t>
        </is>
      </c>
      <c r="Q75" s="18" t="inlineStr">
        <is>
          <t>PLANEADA</t>
        </is>
      </c>
      <c r="R75" s="18" t="inlineStr">
        <is>
          <t>MINI GRANJAS</t>
        </is>
      </c>
      <c r="S75" s="18" t="inlineStr"/>
      <c r="T75" s="18" t="inlineStr">
        <is>
          <t>Otros / sin clasificar</t>
        </is>
      </c>
    </row>
    <row r="76">
      <c r="A76" s="42" t="n">
        <v>46134.64243055556</v>
      </c>
      <c r="B76" s="16" t="n">
        <v>2731</v>
      </c>
      <c r="C76" s="16" t="n">
        <v>2039</v>
      </c>
      <c r="D76" s="16" t="inlineStr">
        <is>
          <t>GENERADA</t>
        </is>
      </c>
      <c r="E76" s="16" t="inlineStr">
        <is>
          <t>PENDIENTE</t>
        </is>
      </c>
      <c r="F76" s="16" t="inlineStr">
        <is>
          <t>Set (Electrico) Suministro</t>
        </is>
      </c>
      <c r="G76" s="16" t="inlineStr">
        <is>
          <t>(Sin Subgrupo)</t>
        </is>
      </c>
      <c r="H76" s="16" t="inlineStr">
        <is>
          <t>CURVA 3/4" EMT E.V SOLUTIONS - UND</t>
        </is>
      </c>
      <c r="I76" s="43" t="n">
        <v>20</v>
      </c>
      <c r="J76" s="44" t="n">
        <v>1084.95</v>
      </c>
      <c r="K76" s="44" t="n">
        <v>21699</v>
      </c>
      <c r="L76" s="16" t="inlineStr">
        <is>
          <t>IVA 19%</t>
        </is>
      </c>
      <c r="M76" s="44" t="n">
        <v>4122</v>
      </c>
      <c r="N76" s="44">
        <f>K76+M76</f>
        <v/>
      </c>
      <c r="O76" s="16" t="inlineStr">
        <is>
          <t>LAURA SOFIA SALAS ROSERO</t>
        </is>
      </c>
      <c r="P76" s="16" t="inlineStr">
        <is>
          <t>ELECTRICOS DEL VALLE SAS</t>
        </is>
      </c>
      <c r="Q76" s="16" t="inlineStr">
        <is>
          <t>PLANEADA</t>
        </is>
      </c>
      <c r="R76" s="16" t="inlineStr">
        <is>
          <t>MINI GRANJAS</t>
        </is>
      </c>
      <c r="S76" s="16" t="inlineStr"/>
      <c r="T76" s="16" t="inlineStr">
        <is>
          <t>Canalización y tubería</t>
        </is>
      </c>
    </row>
    <row r="77">
      <c r="A77" s="45" t="n">
        <v>46134.64243055556</v>
      </c>
      <c r="B77" s="18" t="n">
        <v>2731</v>
      </c>
      <c r="C77" s="18" t="n">
        <v>2039</v>
      </c>
      <c r="D77" s="18" t="inlineStr">
        <is>
          <t>GENERADA</t>
        </is>
      </c>
      <c r="E77" s="18" t="inlineStr">
        <is>
          <t>PENDIENTE</t>
        </is>
      </c>
      <c r="F77" s="18" t="inlineStr">
        <is>
          <t>C. Cableado Tierra</t>
        </is>
      </c>
      <c r="G77" s="18" t="inlineStr">
        <is>
          <t>(Sin Subgrupo)</t>
        </is>
      </c>
      <c r="H77" s="18" t="inlineStr">
        <is>
          <t>BORNA 6 AWG TERMINAL 1/H T/AMERICANO - UND</t>
        </is>
      </c>
      <c r="I77" s="46" t="n">
        <v>210</v>
      </c>
      <c r="J77" s="47" t="n">
        <v>1155</v>
      </c>
      <c r="K77" s="47" t="n">
        <v>242550</v>
      </c>
      <c r="L77" s="18" t="inlineStr">
        <is>
          <t>IVA 19%</t>
        </is>
      </c>
      <c r="M77" s="47" t="n">
        <v>46084</v>
      </c>
      <c r="N77" s="47">
        <f>K77+M77</f>
        <v/>
      </c>
      <c r="O77" s="18" t="inlineStr">
        <is>
          <t>LAURA SOFIA SALAS ROSERO</t>
        </is>
      </c>
      <c r="P77" s="18" t="inlineStr">
        <is>
          <t>ELECTRICOS DEL VALLE SAS</t>
        </is>
      </c>
      <c r="Q77" s="18" t="inlineStr">
        <is>
          <t>PLANEADA</t>
        </is>
      </c>
      <c r="R77" s="18" t="inlineStr">
        <is>
          <t>MINI GRANJAS</t>
        </is>
      </c>
      <c r="S77" s="18" t="inlineStr"/>
      <c r="T77" s="18" t="inlineStr">
        <is>
          <t>Cableado y conductores</t>
        </is>
      </c>
    </row>
    <row r="78">
      <c r="A78" s="42" t="n">
        <v>46134.64243055556</v>
      </c>
      <c r="B78" s="16" t="n">
        <v>2731</v>
      </c>
      <c r="C78" s="16" t="n">
        <v>2039</v>
      </c>
      <c r="D78" s="16" t="inlineStr">
        <is>
          <t>GENERADA</t>
        </is>
      </c>
      <c r="E78" s="16" t="inlineStr">
        <is>
          <t>PENDIENTE</t>
        </is>
      </c>
      <c r="F78" s="16" t="inlineStr">
        <is>
          <t>C. Cableado Dc</t>
        </is>
      </c>
      <c r="G78" s="16" t="inlineStr">
        <is>
          <t>(Sin Subgrupo)</t>
        </is>
      </c>
      <c r="H78" s="16" t="inlineStr">
        <is>
          <t>MARCADOR P/MULTICONDUCTORES 500 DEXSON 2103-DXN2601I - UND</t>
        </is>
      </c>
      <c r="I78" s="43" t="n">
        <v>400</v>
      </c>
      <c r="J78" s="44" t="n">
        <v>1200.43</v>
      </c>
      <c r="K78" s="44" t="n">
        <v>480172</v>
      </c>
      <c r="L78" s="16" t="inlineStr">
        <is>
          <t>IVA 19%</t>
        </is>
      </c>
      <c r="M78" s="44" t="n">
        <v>91232</v>
      </c>
      <c r="N78" s="44">
        <f>K78+M78</f>
        <v/>
      </c>
      <c r="O78" s="16" t="inlineStr">
        <is>
          <t>LAURA SOFIA SALAS ROSERO</t>
        </is>
      </c>
      <c r="P78" s="16" t="inlineStr">
        <is>
          <t>ELECTRICOS DEL VALLE SAS</t>
        </is>
      </c>
      <c r="Q78" s="16" t="inlineStr">
        <is>
          <t>PLANEADA</t>
        </is>
      </c>
      <c r="R78" s="16" t="inlineStr">
        <is>
          <t>MINI GRANJAS</t>
        </is>
      </c>
      <c r="S78" s="16" t="inlineStr"/>
      <c r="T78" s="16" t="inlineStr">
        <is>
          <t>Cableado y conductores</t>
        </is>
      </c>
    </row>
    <row r="79">
      <c r="A79" s="45" t="n">
        <v>46134.64243055556</v>
      </c>
      <c r="B79" s="18" t="n">
        <v>2731</v>
      </c>
      <c r="C79" s="18" t="n">
        <v>2039</v>
      </c>
      <c r="D79" s="18" t="inlineStr">
        <is>
          <t>GENERADA</t>
        </is>
      </c>
      <c r="E79" s="18" t="inlineStr">
        <is>
          <t>PENDIENTE</t>
        </is>
      </c>
      <c r="F79" s="18" t="inlineStr">
        <is>
          <t>Set (Electrico) Suministro</t>
        </is>
      </c>
      <c r="G79" s="18" t="inlineStr">
        <is>
          <t>(Sin Subgrupo)</t>
        </is>
      </c>
      <c r="H79" s="18" t="inlineStr">
        <is>
          <t>CABLE VEHICULAR CU 16 NEGRO X METRO - UND</t>
        </is>
      </c>
      <c r="I79" s="46" t="n">
        <v>200</v>
      </c>
      <c r="J79" s="47" t="n">
        <v>1235.08</v>
      </c>
      <c r="K79" s="47" t="n">
        <v>247016</v>
      </c>
      <c r="L79" s="18" t="inlineStr">
        <is>
          <t>IVA 19%</t>
        </is>
      </c>
      <c r="M79" s="47" t="n">
        <v>46933</v>
      </c>
      <c r="N79" s="47">
        <f>K79+M79</f>
        <v/>
      </c>
      <c r="O79" s="18" t="inlineStr">
        <is>
          <t>LAURA SOFIA SALAS ROSERO</t>
        </is>
      </c>
      <c r="P79" s="18" t="inlineStr">
        <is>
          <t>ELECTRICOS DEL VALLE SAS</t>
        </is>
      </c>
      <c r="Q79" s="18" t="inlineStr">
        <is>
          <t>PLANEADA</t>
        </is>
      </c>
      <c r="R79" s="18" t="inlineStr">
        <is>
          <t>MINI GRANJAS</t>
        </is>
      </c>
      <c r="S79" s="18" t="inlineStr"/>
      <c r="T79" s="18" t="inlineStr">
        <is>
          <t>Cableado y conductores</t>
        </is>
      </c>
    </row>
    <row r="80">
      <c r="A80" s="42" t="n">
        <v>46134.64243055556</v>
      </c>
      <c r="B80" s="16" t="n">
        <v>2731</v>
      </c>
      <c r="C80" s="16" t="n">
        <v>2039</v>
      </c>
      <c r="D80" s="16" t="inlineStr">
        <is>
          <t>GENERADA</t>
        </is>
      </c>
      <c r="E80" s="16" t="inlineStr">
        <is>
          <t>PENDIENTE</t>
        </is>
      </c>
      <c r="F80" s="16" t="inlineStr">
        <is>
          <t>Set (Electrico) Suministro</t>
        </is>
      </c>
      <c r="G80" s="16" t="inlineStr">
        <is>
          <t>(Sin Subgrupo)</t>
        </is>
      </c>
      <c r="H80" s="16" t="inlineStr">
        <is>
          <t>PRENSAESTOPA 1/2"10-19 MM PG13.5 COMPLETA 50 DEXSON - UND</t>
        </is>
      </c>
      <c r="I80" s="43" t="n">
        <v>25</v>
      </c>
      <c r="J80" s="44" t="n">
        <v>1374.44</v>
      </c>
      <c r="K80" s="44" t="n">
        <v>34361</v>
      </c>
      <c r="L80" s="16" t="inlineStr">
        <is>
          <t>IVA 19%</t>
        </is>
      </c>
      <c r="M80" s="44" t="n">
        <v>6528</v>
      </c>
      <c r="N80" s="44">
        <f>K80+M80</f>
        <v/>
      </c>
      <c r="O80" s="16" t="inlineStr">
        <is>
          <t>LAURA SOFIA SALAS ROSERO</t>
        </is>
      </c>
      <c r="P80" s="16" t="inlineStr">
        <is>
          <t>ELECTRICOS DEL VALLE SAS</t>
        </is>
      </c>
      <c r="Q80" s="16" t="inlineStr">
        <is>
          <t>PLANEADA</t>
        </is>
      </c>
      <c r="R80" s="16" t="inlineStr">
        <is>
          <t>MINI GRANJAS</t>
        </is>
      </c>
      <c r="S80" s="16" t="inlineStr"/>
      <c r="T80" s="16" t="inlineStr">
        <is>
          <t>Otros / sin clasificar</t>
        </is>
      </c>
    </row>
    <row r="81">
      <c r="A81" s="45" t="n">
        <v>46134.64243055556</v>
      </c>
      <c r="B81" s="18" t="n">
        <v>2731</v>
      </c>
      <c r="C81" s="18" t="n">
        <v>2039</v>
      </c>
      <c r="D81" s="18" t="inlineStr">
        <is>
          <t>GENERADA</t>
        </is>
      </c>
      <c r="E81" s="18" t="inlineStr">
        <is>
          <t>PENDIENTE</t>
        </is>
      </c>
      <c r="F81" s="18" t="inlineStr">
        <is>
          <t>C. Cableado Ac</t>
        </is>
      </c>
      <c r="G81" s="18" t="inlineStr">
        <is>
          <t>(Sin Subgrupo)</t>
        </is>
      </c>
      <c r="H81" s="18" t="inlineStr">
        <is>
          <t>CABLE UTP CAT 6  INTERIOR LSZH  GRIS X 1000 MTS EVSOLUTIONS - UND</t>
        </is>
      </c>
      <c r="I81" s="46" t="n">
        <v>150</v>
      </c>
      <c r="J81" s="47" t="n">
        <v>2067.2</v>
      </c>
      <c r="K81" s="47" t="n">
        <v>310080</v>
      </c>
      <c r="L81" s="18" t="inlineStr">
        <is>
          <t>IVA 19%</t>
        </is>
      </c>
      <c r="M81" s="47" t="n">
        <v>58915</v>
      </c>
      <c r="N81" s="47">
        <f>K81+M81</f>
        <v/>
      </c>
      <c r="O81" s="18" t="inlineStr">
        <is>
          <t>LAURA SOFIA SALAS ROSERO</t>
        </is>
      </c>
      <c r="P81" s="18" t="inlineStr">
        <is>
          <t>ELECTRICOS DEL VALLE SAS</t>
        </is>
      </c>
      <c r="Q81" s="18" t="inlineStr">
        <is>
          <t>PLANEADA</t>
        </is>
      </c>
      <c r="R81" s="18" t="inlineStr">
        <is>
          <t>MINI GRANJAS</t>
        </is>
      </c>
      <c r="S81" s="18" t="inlineStr"/>
      <c r="T81" s="18" t="inlineStr">
        <is>
          <t>Cableado y conductores</t>
        </is>
      </c>
    </row>
    <row r="82">
      <c r="A82" s="42" t="n">
        <v>46134.64243055556</v>
      </c>
      <c r="B82" s="16" t="n">
        <v>2731</v>
      </c>
      <c r="C82" s="16" t="n">
        <v>2039</v>
      </c>
      <c r="D82" s="16" t="inlineStr">
        <is>
          <t>GENERADA</t>
        </is>
      </c>
      <c r="E82" s="16" t="inlineStr">
        <is>
          <t>PENDIENTE</t>
        </is>
      </c>
      <c r="F82" s="16" t="inlineStr">
        <is>
          <t>Set (Electrico) Suministro</t>
        </is>
      </c>
      <c r="G82" s="16" t="inlineStr">
        <is>
          <t>(Sin Subgrupo)</t>
        </is>
      </c>
      <c r="H82" s="16" t="inlineStr">
        <is>
          <t>CABLE CU 12 NEGRO THHN/THWN AISLA NYLON (PROCABLES-BOBINA) 1002- 3135308100-001B - UND</t>
        </is>
      </c>
      <c r="I82" s="43" t="n">
        <v>300</v>
      </c>
      <c r="J82" s="44" t="n">
        <v>2298.24</v>
      </c>
      <c r="K82" s="44" t="n">
        <v>689472</v>
      </c>
      <c r="L82" s="16" t="inlineStr">
        <is>
          <t>IVA 19%</t>
        </is>
      </c>
      <c r="M82" s="44" t="n">
        <v>130999</v>
      </c>
      <c r="N82" s="44">
        <f>K82+M82</f>
        <v/>
      </c>
      <c r="O82" s="16" t="inlineStr">
        <is>
          <t>LAURA SOFIA SALAS ROSERO</t>
        </is>
      </c>
      <c r="P82" s="16" t="inlineStr">
        <is>
          <t>ELECTRICOS DEL VALLE SAS</t>
        </is>
      </c>
      <c r="Q82" s="16" t="inlineStr">
        <is>
          <t>PLANEADA</t>
        </is>
      </c>
      <c r="R82" s="16" t="inlineStr">
        <is>
          <t>MINI GRANJAS</t>
        </is>
      </c>
      <c r="S82" s="16" t="inlineStr"/>
      <c r="T82" s="16" t="inlineStr">
        <is>
          <t>Cableado y conductores</t>
        </is>
      </c>
    </row>
    <row r="83">
      <c r="A83" s="45" t="n">
        <v>46134.64243055556</v>
      </c>
      <c r="B83" s="18" t="n">
        <v>2731</v>
      </c>
      <c r="C83" s="18" t="n">
        <v>2039</v>
      </c>
      <c r="D83" s="18" t="inlineStr">
        <is>
          <t>GENERADA</t>
        </is>
      </c>
      <c r="E83" s="18" t="inlineStr">
        <is>
          <t>PENDIENTE</t>
        </is>
      </c>
      <c r="F83" s="18" t="inlineStr">
        <is>
          <t>Set (Electrico) Suministro</t>
        </is>
      </c>
      <c r="G83" s="18" t="inlineStr">
        <is>
          <t>(Sin Subgrupo)</t>
        </is>
      </c>
      <c r="H83" s="18" t="inlineStr">
        <is>
          <t>AMARRAS 6" PLASTICAS 15CMS 3.6 40LB NEGRA E.V. - UND</t>
        </is>
      </c>
      <c r="I83" s="46" t="n">
        <v>8</v>
      </c>
      <c r="J83" s="47" t="n">
        <v>2325.37</v>
      </c>
      <c r="K83" s="47" t="n">
        <v>18602.96</v>
      </c>
      <c r="L83" s="18" t="inlineStr">
        <is>
          <t>IVA 19%</t>
        </is>
      </c>
      <c r="M83" s="47" t="n">
        <v>3534</v>
      </c>
      <c r="N83" s="47">
        <f>K83+M83</f>
        <v/>
      </c>
      <c r="O83" s="18" t="inlineStr">
        <is>
          <t>LAURA SOFIA SALAS ROSERO</t>
        </is>
      </c>
      <c r="P83" s="18" t="inlineStr">
        <is>
          <t>ELECTRICOS DEL VALLE SAS</t>
        </is>
      </c>
      <c r="Q83" s="18" t="inlineStr">
        <is>
          <t>PLANEADA</t>
        </is>
      </c>
      <c r="R83" s="18" t="inlineStr">
        <is>
          <t>MINI GRANJAS</t>
        </is>
      </c>
      <c r="S83" s="18" t="inlineStr"/>
      <c r="T83" s="18" t="inlineStr">
        <is>
          <t>Otros / sin clasificar</t>
        </is>
      </c>
    </row>
    <row r="84">
      <c r="A84" s="42" t="n">
        <v>46134.64243055556</v>
      </c>
      <c r="B84" s="16" t="n">
        <v>2731</v>
      </c>
      <c r="C84" s="16" t="n">
        <v>2039</v>
      </c>
      <c r="D84" s="16" t="inlineStr">
        <is>
          <t>GENERADA</t>
        </is>
      </c>
      <c r="E84" s="16" t="inlineStr">
        <is>
          <t>PENDIENTE</t>
        </is>
      </c>
      <c r="F84" s="16" t="inlineStr">
        <is>
          <t>Set (Electrico) Suministro</t>
        </is>
      </c>
      <c r="G84" s="16" t="inlineStr">
        <is>
          <t>(Sin Subgrupo)</t>
        </is>
      </c>
      <c r="H84" s="16" t="inlineStr">
        <is>
          <t>TOMA DOBLE 15 AMP BLANCO P/TIERRA 125V SIN TAPA  HUBBELL - UND</t>
        </is>
      </c>
      <c r="I84" s="43" t="n">
        <v>2</v>
      </c>
      <c r="J84" s="44" t="n">
        <v>2833.5</v>
      </c>
      <c r="K84" s="44" t="n">
        <v>5667</v>
      </c>
      <c r="L84" s="16" t="inlineStr">
        <is>
          <t>IVA 19%</t>
        </is>
      </c>
      <c r="M84" s="44" t="n">
        <v>1076</v>
      </c>
      <c r="N84" s="44">
        <f>K84+M84</f>
        <v/>
      </c>
      <c r="O84" s="16" t="inlineStr">
        <is>
          <t>LAURA SOFIA SALAS ROSERO</t>
        </is>
      </c>
      <c r="P84" s="16" t="inlineStr">
        <is>
          <t>ELECTRICOS DEL VALLE SAS</t>
        </is>
      </c>
      <c r="Q84" s="16" t="inlineStr">
        <is>
          <t>PLANEADA</t>
        </is>
      </c>
      <c r="R84" s="16" t="inlineStr">
        <is>
          <t>MINI GRANJAS</t>
        </is>
      </c>
      <c r="S84" s="16" t="inlineStr"/>
      <c r="T84" s="16" t="inlineStr">
        <is>
          <t>Cajas de paso y accesorios</t>
        </is>
      </c>
    </row>
    <row r="85">
      <c r="A85" s="45" t="n">
        <v>46134.64243055556</v>
      </c>
      <c r="B85" s="18" t="n">
        <v>2731</v>
      </c>
      <c r="C85" s="18" t="n">
        <v>2039</v>
      </c>
      <c r="D85" s="18" t="inlineStr">
        <is>
          <t>GENERADA</t>
        </is>
      </c>
      <c r="E85" s="18" t="inlineStr">
        <is>
          <t>PENDIENTE</t>
        </is>
      </c>
      <c r="F85" s="18" t="inlineStr">
        <is>
          <t>Set (Electrico) Suministro</t>
        </is>
      </c>
      <c r="G85" s="18" t="inlineStr">
        <is>
          <t>(Sin Subgrupo)</t>
        </is>
      </c>
      <c r="H85" s="18" t="inlineStr">
        <is>
          <t>CONECTOR RECTO DE CORAZA  3/4" - UND</t>
        </is>
      </c>
      <c r="I85" s="46" t="n">
        <v>6</v>
      </c>
      <c r="J85" s="47" t="n">
        <v>2981.5</v>
      </c>
      <c r="K85" s="47" t="n">
        <v>17889</v>
      </c>
      <c r="L85" s="18" t="inlineStr">
        <is>
          <t>IVA 19%</t>
        </is>
      </c>
      <c r="M85" s="47" t="n">
        <v>3398</v>
      </c>
      <c r="N85" s="47">
        <f>K85+M85</f>
        <v/>
      </c>
      <c r="O85" s="18" t="inlineStr">
        <is>
          <t>LAURA SOFIA SALAS ROSERO</t>
        </is>
      </c>
      <c r="P85" s="18" t="inlineStr">
        <is>
          <t>ELECTRICOS DEL VALLE SAS</t>
        </is>
      </c>
      <c r="Q85" s="18" t="inlineStr">
        <is>
          <t>PLANEADA</t>
        </is>
      </c>
      <c r="R85" s="18" t="inlineStr">
        <is>
          <t>MINI GRANJAS</t>
        </is>
      </c>
      <c r="S85" s="18" t="inlineStr"/>
      <c r="T85" s="18" t="inlineStr">
        <is>
          <t>Cableado y conductores</t>
        </is>
      </c>
    </row>
    <row r="86">
      <c r="A86" s="42" t="n">
        <v>46134.64243055556</v>
      </c>
      <c r="B86" s="16" t="n">
        <v>2731</v>
      </c>
      <c r="C86" s="16" t="n">
        <v>2039</v>
      </c>
      <c r="D86" s="16" t="inlineStr">
        <is>
          <t>GENERADA</t>
        </is>
      </c>
      <c r="E86" s="16" t="inlineStr">
        <is>
          <t>PENDIENTE</t>
        </is>
      </c>
      <c r="F86" s="16" t="inlineStr">
        <is>
          <t>Set (Electrico) Suministro</t>
        </is>
      </c>
      <c r="G86" s="16" t="inlineStr">
        <is>
          <t>(Sin Subgrupo)</t>
        </is>
      </c>
      <c r="H86" s="16" t="inlineStr">
        <is>
          <t>PRENSAESTOPA 3/4" 10-22 MM PG21 COMPLETA DEXSON 1304-DXN35060 - UND</t>
        </is>
      </c>
      <c r="I86" s="43" t="n">
        <v>60</v>
      </c>
      <c r="J86" s="44" t="n">
        <v>3036.11</v>
      </c>
      <c r="K86" s="44" t="n">
        <v>182166.6</v>
      </c>
      <c r="L86" s="16" t="inlineStr">
        <is>
          <t>IVA 19%</t>
        </is>
      </c>
      <c r="M86" s="44" t="n">
        <v>34611</v>
      </c>
      <c r="N86" s="44">
        <f>K86+M86</f>
        <v/>
      </c>
      <c r="O86" s="16" t="inlineStr">
        <is>
          <t>LAURA SOFIA SALAS ROSERO</t>
        </is>
      </c>
      <c r="P86" s="16" t="inlineStr">
        <is>
          <t>ELECTRICOS DEL VALLE SAS</t>
        </is>
      </c>
      <c r="Q86" s="16" t="inlineStr">
        <is>
          <t>PLANEADA</t>
        </is>
      </c>
      <c r="R86" s="16" t="inlineStr">
        <is>
          <t>MINI GRANJAS</t>
        </is>
      </c>
      <c r="S86" s="16" t="inlineStr"/>
      <c r="T86" s="16" t="inlineStr">
        <is>
          <t>Otros / sin clasificar</t>
        </is>
      </c>
    </row>
    <row r="87">
      <c r="A87" s="45" t="n">
        <v>46134.64243055556</v>
      </c>
      <c r="B87" s="18" t="n">
        <v>2731</v>
      </c>
      <c r="C87" s="18" t="n">
        <v>2039</v>
      </c>
      <c r="D87" s="18" t="inlineStr">
        <is>
          <t>GENERADA</t>
        </is>
      </c>
      <c r="E87" s="18" t="inlineStr">
        <is>
          <t>PENDIENTE</t>
        </is>
      </c>
      <c r="F87" s="18" t="inlineStr">
        <is>
          <t>Set (Electrico) Suministro</t>
        </is>
      </c>
      <c r="G87" s="18" t="inlineStr">
        <is>
          <t>(Sin Subgrupo)</t>
        </is>
      </c>
      <c r="H87" s="18" t="inlineStr">
        <is>
          <t>ADAPTADOR 2" EMT - UND</t>
        </is>
      </c>
      <c r="I87" s="46" t="n">
        <v>12</v>
      </c>
      <c r="J87" s="47" t="n">
        <v>3294.08</v>
      </c>
      <c r="K87" s="47" t="n">
        <v>39528.96</v>
      </c>
      <c r="L87" s="18" t="inlineStr">
        <is>
          <t>IVA 19%</t>
        </is>
      </c>
      <c r="M87" s="47" t="n">
        <v>7510</v>
      </c>
      <c r="N87" s="47">
        <f>K87+M87</f>
        <v/>
      </c>
      <c r="O87" s="18" t="inlineStr">
        <is>
          <t>LAURA SOFIA SALAS ROSERO</t>
        </is>
      </c>
      <c r="P87" s="18" t="inlineStr">
        <is>
          <t>ELECTRICOS DEL VALLE SAS</t>
        </is>
      </c>
      <c r="Q87" s="18" t="inlineStr">
        <is>
          <t>PLANEADA</t>
        </is>
      </c>
      <c r="R87" s="18" t="inlineStr">
        <is>
          <t>MINI GRANJAS</t>
        </is>
      </c>
      <c r="S87" s="18" t="inlineStr"/>
      <c r="T87" s="18" t="inlineStr">
        <is>
          <t>Canalización y tubería</t>
        </is>
      </c>
    </row>
    <row r="88">
      <c r="A88" s="42" t="n">
        <v>46134.64243055556</v>
      </c>
      <c r="B88" s="16" t="n">
        <v>2731</v>
      </c>
      <c r="C88" s="16" t="n">
        <v>2039</v>
      </c>
      <c r="D88" s="16" t="inlineStr">
        <is>
          <t>GENERADA</t>
        </is>
      </c>
      <c r="E88" s="16" t="inlineStr">
        <is>
          <t>PENDIENTE</t>
        </is>
      </c>
      <c r="F88" s="16" t="inlineStr">
        <is>
          <t>Set (Electrico) Suministro</t>
        </is>
      </c>
      <c r="G88" s="16" t="inlineStr">
        <is>
          <t>(Sin Subgrupo)</t>
        </is>
      </c>
      <c r="H88" s="16" t="inlineStr">
        <is>
          <t>TUERCA MORDAZA 3/8" CON RESORTE Y TORNILLO HEXAGONAL - UND</t>
        </is>
      </c>
      <c r="I88" s="43" t="n">
        <v>50</v>
      </c>
      <c r="J88" s="44" t="n">
        <v>3608.22</v>
      </c>
      <c r="K88" s="44" t="n">
        <v>180411</v>
      </c>
      <c r="L88" s="16" t="inlineStr">
        <is>
          <t>IVA 19%</t>
        </is>
      </c>
      <c r="M88" s="44" t="n">
        <v>34278</v>
      </c>
      <c r="N88" s="44">
        <f>K88+M88</f>
        <v/>
      </c>
      <c r="O88" s="16" t="inlineStr">
        <is>
          <t>LAURA SOFIA SALAS ROSERO</t>
        </is>
      </c>
      <c r="P88" s="16" t="inlineStr">
        <is>
          <t>ELECTRICOS DEL VALLE SAS</t>
        </is>
      </c>
      <c r="Q88" s="16" t="inlineStr">
        <is>
          <t>PLANEADA</t>
        </is>
      </c>
      <c r="R88" s="16" t="inlineStr">
        <is>
          <t>MINI GRANJAS</t>
        </is>
      </c>
      <c r="S88" s="16" t="inlineStr"/>
      <c r="T88" s="16" t="inlineStr">
        <is>
          <t>Cajas de paso y accesorios</t>
        </is>
      </c>
    </row>
    <row r="89">
      <c r="A89" s="45" t="n">
        <v>46134.64243055556</v>
      </c>
      <c r="B89" s="18" t="n">
        <v>2731</v>
      </c>
      <c r="C89" s="18" t="n">
        <v>2039</v>
      </c>
      <c r="D89" s="18" t="inlineStr">
        <is>
          <t>GENERADA</t>
        </is>
      </c>
      <c r="E89" s="18" t="inlineStr">
        <is>
          <t>PENDIENTE</t>
        </is>
      </c>
      <c r="F89" s="18" t="inlineStr">
        <is>
          <t>C. Cableado Tierra</t>
        </is>
      </c>
      <c r="G89" s="18" t="inlineStr">
        <is>
          <t>(Sin Subgrupo)</t>
        </is>
      </c>
      <c r="H89" s="18" t="inlineStr">
        <is>
          <t>BORNA 1/0 AWG TERMINAL 1/H T/AMERICANO - UND</t>
        </is>
      </c>
      <c r="I89" s="46" t="n">
        <v>35</v>
      </c>
      <c r="J89" s="47" t="n">
        <v>3628.22</v>
      </c>
      <c r="K89" s="47" t="n">
        <v>126987.7</v>
      </c>
      <c r="L89" s="18" t="inlineStr">
        <is>
          <t>IVA 19%</t>
        </is>
      </c>
      <c r="M89" s="47" t="n">
        <v>24127</v>
      </c>
      <c r="N89" s="47">
        <f>K89+M89</f>
        <v/>
      </c>
      <c r="O89" s="18" t="inlineStr">
        <is>
          <t>LAURA SOFIA SALAS ROSERO</t>
        </is>
      </c>
      <c r="P89" s="18" t="inlineStr">
        <is>
          <t>ELECTRICOS DEL VALLE SAS</t>
        </is>
      </c>
      <c r="Q89" s="18" t="inlineStr">
        <is>
          <t>PLANEADA</t>
        </is>
      </c>
      <c r="R89" s="18" t="inlineStr">
        <is>
          <t>MINI GRANJAS</t>
        </is>
      </c>
      <c r="S89" s="18" t="inlineStr"/>
      <c r="T89" s="18" t="inlineStr">
        <is>
          <t>Cableado y conductores</t>
        </is>
      </c>
    </row>
    <row r="90">
      <c r="A90" s="42" t="n">
        <v>46134.64243055556</v>
      </c>
      <c r="B90" s="16" t="n">
        <v>2731</v>
      </c>
      <c r="C90" s="16" t="n">
        <v>2039</v>
      </c>
      <c r="D90" s="16" t="inlineStr">
        <is>
          <t>GENERADA</t>
        </is>
      </c>
      <c r="E90" s="16" t="inlineStr">
        <is>
          <t>PENDIENTE</t>
        </is>
      </c>
      <c r="F90" s="16" t="inlineStr">
        <is>
          <t>C. Cableado Ac</t>
        </is>
      </c>
      <c r="G90" s="16" t="inlineStr">
        <is>
          <t>(Sin Subgrupo)</t>
        </is>
      </c>
      <c r="H90" s="16" t="inlineStr">
        <is>
          <t>BORNA 2 AWG TERMINAL BIMETALICA - CILES - UND</t>
        </is>
      </c>
      <c r="I90" s="43" t="n">
        <v>14</v>
      </c>
      <c r="J90" s="44" t="n">
        <v>4245.78</v>
      </c>
      <c r="K90" s="44" t="n">
        <v>59440.92</v>
      </c>
      <c r="L90" s="16" t="inlineStr">
        <is>
          <t>IVA 19%</t>
        </is>
      </c>
      <c r="M90" s="44" t="n">
        <v>11293</v>
      </c>
      <c r="N90" s="44">
        <f>K90+M90</f>
        <v/>
      </c>
      <c r="O90" s="16" t="inlineStr">
        <is>
          <t>LAURA SOFIA SALAS ROSERO</t>
        </is>
      </c>
      <c r="P90" s="16" t="inlineStr">
        <is>
          <t>ELECTRICOS DEL VALLE SAS</t>
        </is>
      </c>
      <c r="Q90" s="16" t="inlineStr">
        <is>
          <t>PLANEADA</t>
        </is>
      </c>
      <c r="R90" s="16" t="inlineStr">
        <is>
          <t>MINI GRANJAS</t>
        </is>
      </c>
      <c r="S90" s="16" t="inlineStr"/>
      <c r="T90" s="16" t="inlineStr">
        <is>
          <t>Cableado y conductores</t>
        </is>
      </c>
    </row>
    <row r="91">
      <c r="A91" s="45" t="n">
        <v>46134.64243055556</v>
      </c>
      <c r="B91" s="18" t="n">
        <v>2731</v>
      </c>
      <c r="C91" s="18" t="n">
        <v>2039</v>
      </c>
      <c r="D91" s="18" t="inlineStr">
        <is>
          <t>GENERADA</t>
        </is>
      </c>
      <c r="E91" s="18" t="inlineStr">
        <is>
          <t>PENDIENTE</t>
        </is>
      </c>
      <c r="F91" s="18" t="inlineStr">
        <is>
          <t>Set (Electrico) Suministro</t>
        </is>
      </c>
      <c r="G91" s="18" t="inlineStr">
        <is>
          <t>(Sin Subgrupo)</t>
        </is>
      </c>
      <c r="H91" s="18" t="inlineStr">
        <is>
          <t>CINTA NEGRA PVC AISLANTE  X 20 MTS (T5 PLYMOUTH X 19 MM) 1907-1-N10-5228 - UND</t>
        </is>
      </c>
      <c r="I91" s="46" t="n">
        <v>10</v>
      </c>
      <c r="J91" s="47" t="n">
        <v>4844.8</v>
      </c>
      <c r="K91" s="47" t="n">
        <v>48448</v>
      </c>
      <c r="L91" s="18" t="inlineStr">
        <is>
          <t>IVA 19%</t>
        </is>
      </c>
      <c r="M91" s="47" t="n">
        <v>9205</v>
      </c>
      <c r="N91" s="47">
        <f>K91+M91</f>
        <v/>
      </c>
      <c r="O91" s="18" t="inlineStr">
        <is>
          <t>LAURA SOFIA SALAS ROSERO</t>
        </is>
      </c>
      <c r="P91" s="18" t="inlineStr">
        <is>
          <t>ELECTRICOS DEL VALLE SAS</t>
        </is>
      </c>
      <c r="Q91" s="18" t="inlineStr">
        <is>
          <t>PLANEADA</t>
        </is>
      </c>
      <c r="R91" s="18" t="inlineStr">
        <is>
          <t>MINI GRANJAS</t>
        </is>
      </c>
      <c r="S91" s="18" t="inlineStr"/>
      <c r="T91" s="18" t="inlineStr">
        <is>
          <t>Otros / sin clasificar</t>
        </is>
      </c>
    </row>
    <row r="92">
      <c r="A92" s="42" t="n">
        <v>46134.64243055556</v>
      </c>
      <c r="B92" s="16" t="n">
        <v>2731</v>
      </c>
      <c r="C92" s="16" t="n">
        <v>2039</v>
      </c>
      <c r="D92" s="16" t="inlineStr">
        <is>
          <t>GENERADA</t>
        </is>
      </c>
      <c r="E92" s="16" t="inlineStr">
        <is>
          <t>PENDIENTE</t>
        </is>
      </c>
      <c r="F92" s="16" t="inlineStr">
        <is>
          <t>Set (Electrico) Suministro</t>
        </is>
      </c>
      <c r="G92" s="16" t="inlineStr">
        <is>
          <t>(Sin Subgrupo)</t>
        </is>
      </c>
      <c r="H92" s="16" t="inlineStr">
        <is>
          <t>AMARRAS 10" PLASTICAS 25CMS 4.8 50LB NEGRA E.V. 1401-TS1-1- 48250B - UND</t>
        </is>
      </c>
      <c r="I92" s="43" t="n">
        <v>8</v>
      </c>
      <c r="J92" s="44" t="n">
        <v>4919.5</v>
      </c>
      <c r="K92" s="44" t="n">
        <v>39356</v>
      </c>
      <c r="L92" s="16" t="inlineStr">
        <is>
          <t>IVA 19%</t>
        </is>
      </c>
      <c r="M92" s="44" t="n">
        <v>7477</v>
      </c>
      <c r="N92" s="44">
        <f>K92+M92</f>
        <v/>
      </c>
      <c r="O92" s="16" t="inlineStr">
        <is>
          <t>LAURA SOFIA SALAS ROSERO</t>
        </is>
      </c>
      <c r="P92" s="16" t="inlineStr">
        <is>
          <t>ELECTRICOS DEL VALLE SAS</t>
        </is>
      </c>
      <c r="Q92" s="16" t="inlineStr">
        <is>
          <t>PLANEADA</t>
        </is>
      </c>
      <c r="R92" s="16" t="inlineStr">
        <is>
          <t>MINI GRANJAS</t>
        </is>
      </c>
      <c r="S92" s="16" t="inlineStr"/>
      <c r="T92" s="16" t="inlineStr">
        <is>
          <t>Otros / sin clasificar</t>
        </is>
      </c>
    </row>
    <row r="93">
      <c r="A93" s="45" t="n">
        <v>46134.64243055556</v>
      </c>
      <c r="B93" s="18" t="n">
        <v>2731</v>
      </c>
      <c r="C93" s="18" t="n">
        <v>2039</v>
      </c>
      <c r="D93" s="18" t="inlineStr">
        <is>
          <t>GENERADA</t>
        </is>
      </c>
      <c r="E93" s="18" t="inlineStr">
        <is>
          <t>PENDIENTE</t>
        </is>
      </c>
      <c r="F93" s="18" t="inlineStr">
        <is>
          <t>Set (Electrico) Suministro</t>
        </is>
      </c>
      <c r="G93" s="18" t="inlineStr">
        <is>
          <t>(Sin Subgrupo)</t>
        </is>
      </c>
      <c r="H93" s="18" t="inlineStr">
        <is>
          <t>CINTA ROJA PVC AISLANTE  X 20 MTS (T5 PLYMOUTH X 19 MM) 1907-1-N10-5230 - UND</t>
        </is>
      </c>
      <c r="I93" s="46" t="n">
        <v>10</v>
      </c>
      <c r="J93" s="47" t="n">
        <v>5082.8</v>
      </c>
      <c r="K93" s="47" t="n">
        <v>50828</v>
      </c>
      <c r="L93" s="18" t="inlineStr">
        <is>
          <t>IVA 19%</t>
        </is>
      </c>
      <c r="M93" s="47" t="n">
        <v>9657</v>
      </c>
      <c r="N93" s="47">
        <f>K93+M93</f>
        <v/>
      </c>
      <c r="O93" s="18" t="inlineStr">
        <is>
          <t>LAURA SOFIA SALAS ROSERO</t>
        </is>
      </c>
      <c r="P93" s="18" t="inlineStr">
        <is>
          <t>ELECTRICOS DEL VALLE SAS</t>
        </is>
      </c>
      <c r="Q93" s="18" t="inlineStr">
        <is>
          <t>PLANEADA</t>
        </is>
      </c>
      <c r="R93" s="18" t="inlineStr">
        <is>
          <t>MINI GRANJAS</t>
        </is>
      </c>
      <c r="S93" s="18" t="inlineStr"/>
      <c r="T93" s="18" t="inlineStr">
        <is>
          <t>Otros / sin clasificar</t>
        </is>
      </c>
    </row>
    <row r="94">
      <c r="A94" s="42" t="n">
        <v>46134.64243055556</v>
      </c>
      <c r="B94" s="16" t="n">
        <v>2731</v>
      </c>
      <c r="C94" s="16" t="n">
        <v>2039</v>
      </c>
      <c r="D94" s="16" t="inlineStr">
        <is>
          <t>GENERADA</t>
        </is>
      </c>
      <c r="E94" s="16" t="inlineStr">
        <is>
          <t>PENDIENTE</t>
        </is>
      </c>
      <c r="F94" s="16" t="inlineStr">
        <is>
          <t>Set (Electrico) Suministro</t>
        </is>
      </c>
      <c r="G94" s="16" t="inlineStr">
        <is>
          <t>(Sin Subgrupo)</t>
        </is>
      </c>
      <c r="H94" s="16" t="inlineStr">
        <is>
          <t>CINTA AMARILLA PVC AISLANTE  X 20 MTS (T5 PLYMOUTH X 19 MM) 1907-1-N10-5232 - UND</t>
        </is>
      </c>
      <c r="I94" s="43" t="n">
        <v>10</v>
      </c>
      <c r="J94" s="44" t="n">
        <v>5130.5</v>
      </c>
      <c r="K94" s="44" t="n">
        <v>51305</v>
      </c>
      <c r="L94" s="16" t="inlineStr">
        <is>
          <t>IVA 19%</t>
        </is>
      </c>
      <c r="M94" s="44" t="n">
        <v>9747</v>
      </c>
      <c r="N94" s="44">
        <f>K94+M94</f>
        <v/>
      </c>
      <c r="O94" s="16" t="inlineStr">
        <is>
          <t>LAURA SOFIA SALAS ROSERO</t>
        </is>
      </c>
      <c r="P94" s="16" t="inlineStr">
        <is>
          <t>ELECTRICOS DEL VALLE SAS</t>
        </is>
      </c>
      <c r="Q94" s="16" t="inlineStr">
        <is>
          <t>PLANEADA</t>
        </is>
      </c>
      <c r="R94" s="16" t="inlineStr">
        <is>
          <t>MINI GRANJAS</t>
        </is>
      </c>
      <c r="S94" s="16" t="inlineStr"/>
      <c r="T94" s="16" t="inlineStr">
        <is>
          <t>Otros / sin clasificar</t>
        </is>
      </c>
    </row>
    <row r="95">
      <c r="A95" s="45" t="n">
        <v>46134.64243055556</v>
      </c>
      <c r="B95" s="18" t="n">
        <v>2731</v>
      </c>
      <c r="C95" s="18" t="n">
        <v>2039</v>
      </c>
      <c r="D95" s="18" t="inlineStr">
        <is>
          <t>GENERADA</t>
        </is>
      </c>
      <c r="E95" s="18" t="inlineStr">
        <is>
          <t>PENDIENTE</t>
        </is>
      </c>
      <c r="F95" s="18" t="inlineStr">
        <is>
          <t>Set (Electrico) Suministro</t>
        </is>
      </c>
      <c r="G95" s="18" t="inlineStr">
        <is>
          <t>(Sin Subgrupo)</t>
        </is>
      </c>
      <c r="H95" s="18" t="inlineStr">
        <is>
          <t>CINTA CAFE PVC AISLANTE  X 20 MTS (T5 PLYMOUTH X 19 MM) 1907-1-N10-5235 - UND</t>
        </is>
      </c>
      <c r="I95" s="46" t="n">
        <v>10</v>
      </c>
      <c r="J95" s="47" t="n">
        <v>5148.2</v>
      </c>
      <c r="K95" s="47" t="n">
        <v>51482</v>
      </c>
      <c r="L95" s="18" t="inlineStr">
        <is>
          <t>IVA 19%</t>
        </is>
      </c>
      <c r="M95" s="47" t="n">
        <v>9781</v>
      </c>
      <c r="N95" s="47">
        <f>K95+M95</f>
        <v/>
      </c>
      <c r="O95" s="18" t="inlineStr">
        <is>
          <t>LAURA SOFIA SALAS ROSERO</t>
        </is>
      </c>
      <c r="P95" s="18" t="inlineStr">
        <is>
          <t>ELECTRICOS DEL VALLE SAS</t>
        </is>
      </c>
      <c r="Q95" s="18" t="inlineStr">
        <is>
          <t>PLANEADA</t>
        </is>
      </c>
      <c r="R95" s="18" t="inlineStr">
        <is>
          <t>MINI GRANJAS</t>
        </is>
      </c>
      <c r="S95" s="18" t="inlineStr"/>
      <c r="T95" s="18" t="inlineStr">
        <is>
          <t>Otros / sin clasificar</t>
        </is>
      </c>
    </row>
    <row r="96">
      <c r="A96" s="42" t="n">
        <v>46134.64243055556</v>
      </c>
      <c r="B96" s="16" t="n">
        <v>2731</v>
      </c>
      <c r="C96" s="16" t="n">
        <v>2039</v>
      </c>
      <c r="D96" s="16" t="inlineStr">
        <is>
          <t>GENERADA</t>
        </is>
      </c>
      <c r="E96" s="16" t="inlineStr">
        <is>
          <t>PENDIENTE</t>
        </is>
      </c>
      <c r="F96" s="16" t="inlineStr">
        <is>
          <t>Set (Electrico) Suministro</t>
        </is>
      </c>
      <c r="G96" s="16" t="inlineStr">
        <is>
          <t>(Sin Subgrupo)</t>
        </is>
      </c>
      <c r="H96" s="16" t="inlineStr">
        <is>
          <t>CINTA BLANCA PVC AISLANTE  X 20 MTS (T5 PLYMOUTH X 19 MM) 1907-1-N10-5231 - UND</t>
        </is>
      </c>
      <c r="I96" s="43" t="n">
        <v>10</v>
      </c>
      <c r="J96" s="44" t="n">
        <v>5159</v>
      </c>
      <c r="K96" s="44" t="n">
        <v>51590</v>
      </c>
      <c r="L96" s="16" t="inlineStr">
        <is>
          <t>IVA 19%</t>
        </is>
      </c>
      <c r="M96" s="44" t="n">
        <v>9802</v>
      </c>
      <c r="N96" s="44">
        <f>K96+M96</f>
        <v/>
      </c>
      <c r="O96" s="16" t="inlineStr">
        <is>
          <t>LAURA SOFIA SALAS ROSERO</t>
        </is>
      </c>
      <c r="P96" s="16" t="inlineStr">
        <is>
          <t>ELECTRICOS DEL VALLE SAS</t>
        </is>
      </c>
      <c r="Q96" s="16" t="inlineStr">
        <is>
          <t>PLANEADA</t>
        </is>
      </c>
      <c r="R96" s="16" t="inlineStr">
        <is>
          <t>MINI GRANJAS</t>
        </is>
      </c>
      <c r="S96" s="16" t="inlineStr"/>
      <c r="T96" s="16" t="inlineStr">
        <is>
          <t>Otros / sin clasificar</t>
        </is>
      </c>
    </row>
    <row r="97">
      <c r="A97" s="45" t="n">
        <v>46134.64243055556</v>
      </c>
      <c r="B97" s="18" t="n">
        <v>2731</v>
      </c>
      <c r="C97" s="18" t="n">
        <v>2039</v>
      </c>
      <c r="D97" s="18" t="inlineStr">
        <is>
          <t>GENERADA</t>
        </is>
      </c>
      <c r="E97" s="18" t="inlineStr">
        <is>
          <t>PENDIENTE</t>
        </is>
      </c>
      <c r="F97" s="18" t="inlineStr">
        <is>
          <t>Set (Electrico) Suministro</t>
        </is>
      </c>
      <c r="G97" s="18" t="inlineStr">
        <is>
          <t>(Sin Subgrupo)</t>
        </is>
      </c>
      <c r="H97" s="18" t="inlineStr">
        <is>
          <t>CINTA AISLANTE AZUL - UND</t>
        </is>
      </c>
      <c r="I97" s="46" t="n">
        <v>2</v>
      </c>
      <c r="J97" s="47" t="n">
        <v>5162</v>
      </c>
      <c r="K97" s="47" t="n">
        <v>10324</v>
      </c>
      <c r="L97" s="18" t="inlineStr">
        <is>
          <t>IVA 19%</t>
        </is>
      </c>
      <c r="M97" s="47" t="n">
        <v>1961</v>
      </c>
      <c r="N97" s="47">
        <f>K97+M97</f>
        <v/>
      </c>
      <c r="O97" s="18" t="inlineStr">
        <is>
          <t>LAURA SOFIA SALAS ROSERO</t>
        </is>
      </c>
      <c r="P97" s="18" t="inlineStr">
        <is>
          <t>ELECTRICOS DEL VALLE SAS</t>
        </is>
      </c>
      <c r="Q97" s="18" t="inlineStr">
        <is>
          <t>PLANEADA</t>
        </is>
      </c>
      <c r="R97" s="18" t="inlineStr">
        <is>
          <t>MINI GRANJAS</t>
        </is>
      </c>
      <c r="S97" s="18" t="inlineStr"/>
      <c r="T97" s="18" t="inlineStr">
        <is>
          <t>Otros / sin clasificar</t>
        </is>
      </c>
    </row>
    <row r="98">
      <c r="A98" s="42" t="n">
        <v>46134.64243055556</v>
      </c>
      <c r="B98" s="16" t="n">
        <v>2731</v>
      </c>
      <c r="C98" s="16" t="n">
        <v>2039</v>
      </c>
      <c r="D98" s="16" t="inlineStr">
        <is>
          <t>GENERADA</t>
        </is>
      </c>
      <c r="E98" s="16" t="inlineStr">
        <is>
          <t>PENDIENTE</t>
        </is>
      </c>
      <c r="F98" s="16" t="inlineStr">
        <is>
          <t>Set (Electrico) Suministro</t>
        </is>
      </c>
      <c r="G98" s="16" t="inlineStr">
        <is>
          <t>(Sin Subgrupo)</t>
        </is>
      </c>
      <c r="H98" s="16" t="inlineStr">
        <is>
          <t>CINTA VERDE PVC AISLANTE  X 20 MTS (T5 PLYMOUTH X 19 MM) 1907-1-N10-5233 - UND</t>
        </is>
      </c>
      <c r="I98" s="43" t="n">
        <v>10</v>
      </c>
      <c r="J98" s="44" t="n">
        <v>5169</v>
      </c>
      <c r="K98" s="44" t="n">
        <v>51690</v>
      </c>
      <c r="L98" s="16" t="inlineStr">
        <is>
          <t>IVA 19%</t>
        </is>
      </c>
      <c r="M98" s="44" t="n">
        <v>9821</v>
      </c>
      <c r="N98" s="44">
        <f>K98+M98</f>
        <v/>
      </c>
      <c r="O98" s="16" t="inlineStr">
        <is>
          <t>LAURA SOFIA SALAS ROSERO</t>
        </is>
      </c>
      <c r="P98" s="16" t="inlineStr">
        <is>
          <t>ELECTRICOS DEL VALLE SAS</t>
        </is>
      </c>
      <c r="Q98" s="16" t="inlineStr">
        <is>
          <t>PLANEADA</t>
        </is>
      </c>
      <c r="R98" s="16" t="inlineStr">
        <is>
          <t>MINI GRANJAS</t>
        </is>
      </c>
      <c r="S98" s="16" t="inlineStr"/>
      <c r="T98" s="16" t="inlineStr">
        <is>
          <t>Otros / sin clasificar</t>
        </is>
      </c>
    </row>
    <row r="99">
      <c r="A99" s="45" t="n">
        <v>46134.64243055556</v>
      </c>
      <c r="B99" s="18" t="n">
        <v>2731</v>
      </c>
      <c r="C99" s="18" t="n">
        <v>2039</v>
      </c>
      <c r="D99" s="18" t="inlineStr">
        <is>
          <t>GENERADA</t>
        </is>
      </c>
      <c r="E99" s="18" t="inlineStr">
        <is>
          <t>PENDIENTE</t>
        </is>
      </c>
      <c r="F99" s="18" t="inlineStr">
        <is>
          <t>Set (Electrico) Suministro</t>
        </is>
      </c>
      <c r="G99" s="18" t="inlineStr">
        <is>
          <t>(Sin Subgrupo)</t>
        </is>
      </c>
      <c r="H99" s="18" t="inlineStr">
        <is>
          <t>INTERRUPTOR ELETRICO SENCILLO - UND</t>
        </is>
      </c>
      <c r="I99" s="46" t="n">
        <v>2</v>
      </c>
      <c r="J99" s="47" t="n">
        <v>5190</v>
      </c>
      <c r="K99" s="47" t="n">
        <v>10380</v>
      </c>
      <c r="L99" s="18" t="inlineStr">
        <is>
          <t>IVA 19%</t>
        </is>
      </c>
      <c r="M99" s="47" t="n">
        <v>1972</v>
      </c>
      <c r="N99" s="47">
        <f>K99+M99</f>
        <v/>
      </c>
      <c r="O99" s="18" t="inlineStr">
        <is>
          <t>LAURA SOFIA SALAS ROSERO</t>
        </is>
      </c>
      <c r="P99" s="18" t="inlineStr">
        <is>
          <t>ELECTRICOS DEL VALLE SAS</t>
        </is>
      </c>
      <c r="Q99" s="18" t="inlineStr">
        <is>
          <t>PLANEADA</t>
        </is>
      </c>
      <c r="R99" s="18" t="inlineStr">
        <is>
          <t>MINI GRANJAS</t>
        </is>
      </c>
      <c r="S99" s="18" t="inlineStr"/>
      <c r="T99" s="18" t="inlineStr">
        <is>
          <t>Tableros y protecciones</t>
        </is>
      </c>
    </row>
    <row r="100">
      <c r="A100" s="42" t="n">
        <v>46134.64243055556</v>
      </c>
      <c r="B100" s="16" t="n">
        <v>2731</v>
      </c>
      <c r="C100" s="16" t="n">
        <v>2039</v>
      </c>
      <c r="D100" s="16" t="inlineStr">
        <is>
          <t>GENERADA</t>
        </is>
      </c>
      <c r="E100" s="16" t="inlineStr">
        <is>
          <t>PENDIENTE</t>
        </is>
      </c>
      <c r="F100" s="16" t="inlineStr">
        <is>
          <t>Set (Electrico) Suministro</t>
        </is>
      </c>
      <c r="G100" s="16" t="inlineStr">
        <is>
          <t>(Sin Subgrupo)</t>
        </is>
      </c>
      <c r="H100" s="16" t="inlineStr">
        <is>
          <t>CINTA AISLANTE VIOLETA - UND</t>
        </is>
      </c>
      <c r="I100" s="43" t="n">
        <v>4</v>
      </c>
      <c r="J100" s="44" t="n">
        <v>5461.5</v>
      </c>
      <c r="K100" s="44" t="n">
        <v>21846</v>
      </c>
      <c r="L100" s="16" t="inlineStr">
        <is>
          <t>IVA 19%</t>
        </is>
      </c>
      <c r="M100" s="44" t="n">
        <v>4150</v>
      </c>
      <c r="N100" s="44">
        <f>K100+M100</f>
        <v/>
      </c>
      <c r="O100" s="16" t="inlineStr">
        <is>
          <t>LAURA SOFIA SALAS ROSERO</t>
        </is>
      </c>
      <c r="P100" s="16" t="inlineStr">
        <is>
          <t>ELECTRICOS DEL VALLE SAS</t>
        </is>
      </c>
      <c r="Q100" s="16" t="inlineStr">
        <is>
          <t>PLANEADA</t>
        </is>
      </c>
      <c r="R100" s="16" t="inlineStr">
        <is>
          <t>MINI GRANJAS</t>
        </is>
      </c>
      <c r="S100" s="16" t="inlineStr"/>
      <c r="T100" s="16" t="inlineStr">
        <is>
          <t>Otros / sin clasificar</t>
        </is>
      </c>
    </row>
    <row r="101">
      <c r="A101" s="45" t="n">
        <v>46134.64243055556</v>
      </c>
      <c r="B101" s="18" t="n">
        <v>2731</v>
      </c>
      <c r="C101" s="18" t="n">
        <v>2039</v>
      </c>
      <c r="D101" s="18" t="inlineStr">
        <is>
          <t>GENERADA</t>
        </is>
      </c>
      <c r="E101" s="18" t="inlineStr">
        <is>
          <t>PENDIENTE</t>
        </is>
      </c>
      <c r="F101" s="18" t="inlineStr">
        <is>
          <t>Set (Electrico) Suministro</t>
        </is>
      </c>
      <c r="G101" s="18" t="inlineStr">
        <is>
          <t>(Sin Subgrupo)</t>
        </is>
      </c>
      <c r="H101" s="18" t="inlineStr">
        <is>
          <t>CORAZA AMERICANA 3/4" METRO - METRO</t>
        </is>
      </c>
      <c r="I101" s="46" t="n">
        <v>10</v>
      </c>
      <c r="J101" s="47" t="n">
        <v>5482.4</v>
      </c>
      <c r="K101" s="47" t="n">
        <v>54824</v>
      </c>
      <c r="L101" s="18" t="inlineStr">
        <is>
          <t>IVA 19%</t>
        </is>
      </c>
      <c r="M101" s="47" t="n">
        <v>10416</v>
      </c>
      <c r="N101" s="47">
        <f>K101+M101</f>
        <v/>
      </c>
      <c r="O101" s="18" t="inlineStr">
        <is>
          <t>LAURA SOFIA SALAS ROSERO</t>
        </is>
      </c>
      <c r="P101" s="18" t="inlineStr">
        <is>
          <t>ELECTRICOS DEL VALLE SAS</t>
        </is>
      </c>
      <c r="Q101" s="18" t="inlineStr">
        <is>
          <t>PLANEADA</t>
        </is>
      </c>
      <c r="R101" s="18" t="inlineStr">
        <is>
          <t>MINI GRANJAS</t>
        </is>
      </c>
      <c r="S101" s="18" t="inlineStr"/>
      <c r="T101" s="18" t="inlineStr">
        <is>
          <t>Cableado y conductores</t>
        </is>
      </c>
    </row>
    <row r="102">
      <c r="A102" s="42" t="n">
        <v>46134.64243055556</v>
      </c>
      <c r="B102" s="16" t="n">
        <v>2731</v>
      </c>
      <c r="C102" s="16" t="n">
        <v>2039</v>
      </c>
      <c r="D102" s="16" t="inlineStr">
        <is>
          <t>GENERADA</t>
        </is>
      </c>
      <c r="E102" s="16" t="inlineStr">
        <is>
          <t>PENDIENTE</t>
        </is>
      </c>
      <c r="F102" s="16" t="inlineStr">
        <is>
          <t>Set (Electrico) Suministro</t>
        </is>
      </c>
      <c r="G102" s="16" t="inlineStr">
        <is>
          <t>(Sin Subgrupo)</t>
        </is>
      </c>
      <c r="H102" s="16" t="inlineStr">
        <is>
          <t>CINTA AISLANTE NARANJA - UND</t>
        </is>
      </c>
      <c r="I102" s="43" t="n">
        <v>10</v>
      </c>
      <c r="J102" s="44" t="n">
        <v>5544.8</v>
      </c>
      <c r="K102" s="44" t="n">
        <v>55448</v>
      </c>
      <c r="L102" s="16" t="inlineStr">
        <is>
          <t>IVA 19%</t>
        </is>
      </c>
      <c r="M102" s="44" t="n">
        <v>10535</v>
      </c>
      <c r="N102" s="44">
        <f>K102+M102</f>
        <v/>
      </c>
      <c r="O102" s="16" t="inlineStr">
        <is>
          <t>LAURA SOFIA SALAS ROSERO</t>
        </is>
      </c>
      <c r="P102" s="16" t="inlineStr">
        <is>
          <t>ELECTRICOS DEL VALLE SAS</t>
        </is>
      </c>
      <c r="Q102" s="16" t="inlineStr">
        <is>
          <t>PLANEADA</t>
        </is>
      </c>
      <c r="R102" s="16" t="inlineStr">
        <is>
          <t>MINI GRANJAS</t>
        </is>
      </c>
      <c r="S102" s="16" t="inlineStr"/>
      <c r="T102" s="16" t="inlineStr">
        <is>
          <t>Otros / sin clasificar</t>
        </is>
      </c>
    </row>
    <row r="103">
      <c r="A103" s="45" t="n">
        <v>46134.64243055556</v>
      </c>
      <c r="B103" s="18" t="n">
        <v>2731</v>
      </c>
      <c r="C103" s="18" t="n">
        <v>2039</v>
      </c>
      <c r="D103" s="18" t="inlineStr">
        <is>
          <t>GENERADA</t>
        </is>
      </c>
      <c r="E103" s="18" t="inlineStr">
        <is>
          <t>PENDIENTE</t>
        </is>
      </c>
      <c r="F103" s="18" t="inlineStr">
        <is>
          <t>C. Cableado Ac</t>
        </is>
      </c>
      <c r="G103" s="18" t="inlineStr">
        <is>
          <t>(Sin Subgrupo)</t>
        </is>
      </c>
      <c r="H103" s="18" t="inlineStr">
        <is>
          <t>BORNA 1/0 TERMINAL BIMETALICA - CILES - UND</t>
        </is>
      </c>
      <c r="I103" s="46" t="n">
        <v>22</v>
      </c>
      <c r="J103" s="47" t="n">
        <v>7155.59</v>
      </c>
      <c r="K103" s="47" t="n">
        <v>157422.98</v>
      </c>
      <c r="L103" s="18" t="inlineStr">
        <is>
          <t>IVA 19%</t>
        </is>
      </c>
      <c r="M103" s="47" t="n">
        <v>29910</v>
      </c>
      <c r="N103" s="47">
        <f>K103+M103</f>
        <v/>
      </c>
      <c r="O103" s="18" t="inlineStr">
        <is>
          <t>LAURA SOFIA SALAS ROSERO</t>
        </is>
      </c>
      <c r="P103" s="18" t="inlineStr">
        <is>
          <t>ELECTRICOS DEL VALLE SAS</t>
        </is>
      </c>
      <c r="Q103" s="18" t="inlineStr">
        <is>
          <t>PLANEADA</t>
        </is>
      </c>
      <c r="R103" s="18" t="inlineStr">
        <is>
          <t>MINI GRANJAS</t>
        </is>
      </c>
      <c r="S103" s="18" t="inlineStr"/>
      <c r="T103" s="18" t="inlineStr">
        <is>
          <t>Cableado y conductores</t>
        </is>
      </c>
    </row>
    <row r="104">
      <c r="A104" s="42" t="n">
        <v>46134.64243055556</v>
      </c>
      <c r="B104" s="16" t="n">
        <v>2731</v>
      </c>
      <c r="C104" s="16" t="n">
        <v>2039</v>
      </c>
      <c r="D104" s="16" t="inlineStr">
        <is>
          <t>GENERADA</t>
        </is>
      </c>
      <c r="E104" s="16" t="inlineStr">
        <is>
          <t>PENDIENTE</t>
        </is>
      </c>
      <c r="F104" s="16" t="inlineStr">
        <is>
          <t>Set (Electrico) Suministro</t>
        </is>
      </c>
      <c r="G104" s="16" t="inlineStr">
        <is>
          <t>(Sin Subgrupo)</t>
        </is>
      </c>
      <c r="H104" s="16" t="inlineStr">
        <is>
          <t>TAPA CIEGA 4X4 INTEMPERIE RAWELT - UND</t>
        </is>
      </c>
      <c r="I104" s="43" t="n">
        <v>22</v>
      </c>
      <c r="J104" s="44" t="n">
        <v>7295</v>
      </c>
      <c r="K104" s="44" t="n">
        <v>160490</v>
      </c>
      <c r="L104" s="16" t="inlineStr">
        <is>
          <t>IVA 19%</t>
        </is>
      </c>
      <c r="M104" s="44" t="n">
        <v>30493</v>
      </c>
      <c r="N104" s="44">
        <f>K104+M104</f>
        <v/>
      </c>
      <c r="O104" s="16" t="inlineStr">
        <is>
          <t>LAURA SOFIA SALAS ROSERO</t>
        </is>
      </c>
      <c r="P104" s="16" t="inlineStr">
        <is>
          <t>ELECTRICOS DEL VALLE SAS</t>
        </is>
      </c>
      <c r="Q104" s="16" t="inlineStr">
        <is>
          <t>PLANEADA</t>
        </is>
      </c>
      <c r="R104" s="16" t="inlineStr">
        <is>
          <t>MINI GRANJAS</t>
        </is>
      </c>
      <c r="S104" s="16" t="inlineStr"/>
      <c r="T104" s="16" t="inlineStr">
        <is>
          <t>Cajas de paso y accesorios</t>
        </is>
      </c>
    </row>
    <row r="105">
      <c r="A105" s="45" t="n">
        <v>46134.64243055556</v>
      </c>
      <c r="B105" s="18" t="n">
        <v>2731</v>
      </c>
      <c r="C105" s="18" t="n">
        <v>2039</v>
      </c>
      <c r="D105" s="18" t="inlineStr">
        <is>
          <t>GENERADA</t>
        </is>
      </c>
      <c r="E105" s="18" t="inlineStr">
        <is>
          <t>PENDIENTE</t>
        </is>
      </c>
      <c r="F105" s="18" t="inlineStr">
        <is>
          <t>Set (Electrico) Suministro</t>
        </is>
      </c>
      <c r="G105" s="18" t="inlineStr">
        <is>
          <t>(Sin Subgrupo)</t>
        </is>
      </c>
      <c r="H105" s="18" t="inlineStr">
        <is>
          <t>CONECTOR MC4 EN JUEGO  - UND</t>
        </is>
      </c>
      <c r="I105" s="46" t="n">
        <v>8</v>
      </c>
      <c r="J105" s="47" t="n">
        <v>7561.37</v>
      </c>
      <c r="K105" s="47" t="n">
        <v>60490.96</v>
      </c>
      <c r="L105" s="18" t="inlineStr">
        <is>
          <t>IVA 19%</t>
        </is>
      </c>
      <c r="M105" s="47" t="n">
        <v>11493</v>
      </c>
      <c r="N105" s="47">
        <f>K105+M105</f>
        <v/>
      </c>
      <c r="O105" s="18" t="inlineStr">
        <is>
          <t>LAURA SOFIA SALAS ROSERO</t>
        </is>
      </c>
      <c r="P105" s="18" t="inlineStr">
        <is>
          <t>ELECTRICOS DEL VALLE SAS</t>
        </is>
      </c>
      <c r="Q105" s="18" t="inlineStr">
        <is>
          <t>PLANEADA</t>
        </is>
      </c>
      <c r="R105" s="18" t="inlineStr">
        <is>
          <t>MINI GRANJAS</t>
        </is>
      </c>
      <c r="S105" s="18" t="inlineStr"/>
      <c r="T105" s="18" t="inlineStr">
        <is>
          <t>Cableado y conductores</t>
        </is>
      </c>
    </row>
    <row r="106">
      <c r="A106" s="42" t="n">
        <v>46134.64243055556</v>
      </c>
      <c r="B106" s="16" t="n">
        <v>2731</v>
      </c>
      <c r="C106" s="16" t="n">
        <v>2039</v>
      </c>
      <c r="D106" s="16" t="inlineStr">
        <is>
          <t>GENERADA</t>
        </is>
      </c>
      <c r="E106" s="16" t="inlineStr">
        <is>
          <t>PENDIENTE</t>
        </is>
      </c>
      <c r="F106" s="16" t="inlineStr">
        <is>
          <t>Set (Electrico) Suministro</t>
        </is>
      </c>
      <c r="G106" s="16" t="inlineStr">
        <is>
          <t>(Sin Subgrupo)</t>
        </is>
      </c>
      <c r="H106" s="16" t="inlineStr">
        <is>
          <t>CABLE CU ENCAUCHETADO 3X12 AWG 600V - UND</t>
        </is>
      </c>
      <c r="I106" s="43" t="n">
        <v>8</v>
      </c>
      <c r="J106" s="44" t="n">
        <v>9012.870000000001</v>
      </c>
      <c r="K106" s="44" t="n">
        <v>72102.96000000001</v>
      </c>
      <c r="L106" s="16" t="inlineStr">
        <is>
          <t>IVA 19%</t>
        </is>
      </c>
      <c r="M106" s="44" t="n">
        <v>13699</v>
      </c>
      <c r="N106" s="44">
        <f>K106+M106</f>
        <v/>
      </c>
      <c r="O106" s="16" t="inlineStr">
        <is>
          <t>LAURA SOFIA SALAS ROSERO</t>
        </is>
      </c>
      <c r="P106" s="16" t="inlineStr">
        <is>
          <t>ELECTRICOS DEL VALLE SAS</t>
        </is>
      </c>
      <c r="Q106" s="16" t="inlineStr">
        <is>
          <t>PLANEADA</t>
        </is>
      </c>
      <c r="R106" s="16" t="inlineStr">
        <is>
          <t>MINI GRANJAS</t>
        </is>
      </c>
      <c r="S106" s="16" t="inlineStr"/>
      <c r="T106" s="16" t="inlineStr">
        <is>
          <t>Cableado y conductores</t>
        </is>
      </c>
    </row>
    <row r="107">
      <c r="A107" s="45" t="n">
        <v>46134.64243055556</v>
      </c>
      <c r="B107" s="18" t="n">
        <v>2731</v>
      </c>
      <c r="C107" s="18" t="n">
        <v>2039</v>
      </c>
      <c r="D107" s="18" t="inlineStr">
        <is>
          <t>GENERADA</t>
        </is>
      </c>
      <c r="E107" s="18" t="inlineStr">
        <is>
          <t>PENDIENTE</t>
        </is>
      </c>
      <c r="F107" s="18" t="inlineStr">
        <is>
          <t>Set (Electrico) Suministro</t>
        </is>
      </c>
      <c r="G107" s="18" t="inlineStr">
        <is>
          <t>(Sin Subgrupo)</t>
        </is>
      </c>
      <c r="H107" s="18" t="inlineStr">
        <is>
          <t>TUBO 1/2" EMT 3MTS S/UNION - UND</t>
        </is>
      </c>
      <c r="I107" s="46" t="n">
        <v>12</v>
      </c>
      <c r="J107" s="47" t="n">
        <v>9411.75</v>
      </c>
      <c r="K107" s="47" t="n">
        <v>112941</v>
      </c>
      <c r="L107" s="18" t="inlineStr">
        <is>
          <t>IVA 19%</t>
        </is>
      </c>
      <c r="M107" s="47" t="n">
        <v>21458</v>
      </c>
      <c r="N107" s="47">
        <f>K107+M107</f>
        <v/>
      </c>
      <c r="O107" s="18" t="inlineStr">
        <is>
          <t>LAURA SOFIA SALAS ROSERO</t>
        </is>
      </c>
      <c r="P107" s="18" t="inlineStr">
        <is>
          <t>ELECTRICOS DEL VALLE SAS</t>
        </is>
      </c>
      <c r="Q107" s="18" t="inlineStr">
        <is>
          <t>PLANEADA</t>
        </is>
      </c>
      <c r="R107" s="18" t="inlineStr">
        <is>
          <t>MINI GRANJAS</t>
        </is>
      </c>
      <c r="S107" s="18" t="inlineStr"/>
      <c r="T107" s="18" t="inlineStr">
        <is>
          <t>Canalización y tubería</t>
        </is>
      </c>
    </row>
    <row r="108">
      <c r="A108" s="42" t="n">
        <v>46134.64243055556</v>
      </c>
      <c r="B108" s="16" t="n">
        <v>2731</v>
      </c>
      <c r="C108" s="16" t="n">
        <v>2039</v>
      </c>
      <c r="D108" s="16" t="inlineStr">
        <is>
          <t>GENERADA</t>
        </is>
      </c>
      <c r="E108" s="16" t="inlineStr">
        <is>
          <t>PENDIENTE</t>
        </is>
      </c>
      <c r="F108" s="16" t="inlineStr">
        <is>
          <t>C. Cableado Ac</t>
        </is>
      </c>
      <c r="G108" s="16" t="inlineStr">
        <is>
          <t>(Sin Subgrupo)</t>
        </is>
      </c>
      <c r="H108" s="16" t="inlineStr">
        <is>
          <t>BORNERA 2 AWG BIMETÁLICA CILES PALA ANGOSTA - UND</t>
        </is>
      </c>
      <c r="I108" s="43" t="n">
        <v>15</v>
      </c>
      <c r="J108" s="44" t="n">
        <v>9953</v>
      </c>
      <c r="K108" s="44" t="n">
        <v>149295</v>
      </c>
      <c r="L108" s="16" t="inlineStr">
        <is>
          <t>IVA 19%</t>
        </is>
      </c>
      <c r="M108" s="44" t="n">
        <v>28366</v>
      </c>
      <c r="N108" s="44">
        <f>K108+M108</f>
        <v/>
      </c>
      <c r="O108" s="16" t="inlineStr">
        <is>
          <t>LAURA SOFIA SALAS ROSERO</t>
        </is>
      </c>
      <c r="P108" s="16" t="inlineStr">
        <is>
          <t>ELECTRICOS DEL VALLE SAS</t>
        </is>
      </c>
      <c r="Q108" s="16" t="inlineStr">
        <is>
          <t>PLANEADA</t>
        </is>
      </c>
      <c r="R108" s="16" t="inlineStr">
        <is>
          <t>MINI GRANJAS</t>
        </is>
      </c>
      <c r="S108" s="16" t="inlineStr"/>
      <c r="T108" s="16" t="inlineStr">
        <is>
          <t>Cableado y conductores</t>
        </is>
      </c>
    </row>
    <row r="109">
      <c r="A109" s="45" t="n">
        <v>46134.64243055556</v>
      </c>
      <c r="B109" s="18" t="n">
        <v>2731</v>
      </c>
      <c r="C109" s="18" t="n">
        <v>2039</v>
      </c>
      <c r="D109" s="18" t="inlineStr">
        <is>
          <t>GENERADA</t>
        </is>
      </c>
      <c r="E109" s="18" t="inlineStr">
        <is>
          <t>PENDIENTE</t>
        </is>
      </c>
      <c r="F109" s="18" t="inlineStr">
        <is>
          <t>Set (Electrico) Suministro</t>
        </is>
      </c>
      <c r="G109" s="18" t="inlineStr">
        <is>
          <t>(Sin Subgrupo)</t>
        </is>
      </c>
      <c r="H109" s="18" t="inlineStr">
        <is>
          <t>CONECTOR RECTO DE CORAZA  2" - UND</t>
        </is>
      </c>
      <c r="I109" s="46" t="n">
        <v>4</v>
      </c>
      <c r="J109" s="47" t="n">
        <v>11611.5</v>
      </c>
      <c r="K109" s="47" t="n">
        <v>46446</v>
      </c>
      <c r="L109" s="18" t="inlineStr">
        <is>
          <t>IVA 19%</t>
        </is>
      </c>
      <c r="M109" s="47" t="n">
        <v>8824</v>
      </c>
      <c r="N109" s="47">
        <f>K109+M109</f>
        <v/>
      </c>
      <c r="O109" s="18" t="inlineStr">
        <is>
          <t>LAURA SOFIA SALAS ROSERO</t>
        </is>
      </c>
      <c r="P109" s="18" t="inlineStr">
        <is>
          <t>ELECTRICOS DEL VALLE SAS</t>
        </is>
      </c>
      <c r="Q109" s="18" t="inlineStr">
        <is>
          <t>PLANEADA</t>
        </is>
      </c>
      <c r="R109" s="18" t="inlineStr">
        <is>
          <t>MINI GRANJAS</t>
        </is>
      </c>
      <c r="S109" s="18" t="inlineStr"/>
      <c r="T109" s="18" t="inlineStr">
        <is>
          <t>Cableado y conductores</t>
        </is>
      </c>
    </row>
    <row r="110">
      <c r="A110" s="42" t="n">
        <v>46134.64243055556</v>
      </c>
      <c r="B110" s="16" t="n">
        <v>2731</v>
      </c>
      <c r="C110" s="16" t="n">
        <v>2039</v>
      </c>
      <c r="D110" s="16" t="inlineStr">
        <is>
          <t>GENERADA</t>
        </is>
      </c>
      <c r="E110" s="16" t="inlineStr">
        <is>
          <t>PENDIENTE</t>
        </is>
      </c>
      <c r="F110" s="16" t="inlineStr">
        <is>
          <t>C. Canalizaciones</t>
        </is>
      </c>
      <c r="G110" s="16" t="inlineStr">
        <is>
          <t>(Sin Subgrupo)</t>
        </is>
      </c>
      <c r="H110" s="16" t="inlineStr">
        <is>
          <t>CONECTOR RECTO DE CORAZA  2" - UND</t>
        </is>
      </c>
      <c r="I110" s="43" t="n">
        <v>18</v>
      </c>
      <c r="J110" s="44" t="n">
        <v>11611.61</v>
      </c>
      <c r="K110" s="44" t="n">
        <v>209008.98</v>
      </c>
      <c r="L110" s="16" t="inlineStr">
        <is>
          <t>IVA 19%</t>
        </is>
      </c>
      <c r="M110" s="44" t="n">
        <v>39711</v>
      </c>
      <c r="N110" s="44">
        <f>K110+M110</f>
        <v/>
      </c>
      <c r="O110" s="16" t="inlineStr">
        <is>
          <t>LAURA SOFIA SALAS ROSERO</t>
        </is>
      </c>
      <c r="P110" s="16" t="inlineStr">
        <is>
          <t>ELECTRICOS DEL VALLE SAS</t>
        </is>
      </c>
      <c r="Q110" s="16" t="inlineStr">
        <is>
          <t>PLANEADA</t>
        </is>
      </c>
      <c r="R110" s="16" t="inlineStr">
        <is>
          <t>MINI GRANJAS</t>
        </is>
      </c>
      <c r="S110" s="16" t="inlineStr"/>
      <c r="T110" s="16" t="inlineStr">
        <is>
          <t>Cableado y conductores</t>
        </is>
      </c>
    </row>
    <row r="111">
      <c r="A111" s="45" t="n">
        <v>46134.64243055556</v>
      </c>
      <c r="B111" s="18" t="n">
        <v>2731</v>
      </c>
      <c r="C111" s="18" t="n">
        <v>2039</v>
      </c>
      <c r="D111" s="18" t="inlineStr">
        <is>
          <t>GENERADA</t>
        </is>
      </c>
      <c r="E111" s="18" t="inlineStr">
        <is>
          <t>PENDIENTE</t>
        </is>
      </c>
      <c r="F111" s="18" t="inlineStr">
        <is>
          <t>Set (Electrico) Suministro</t>
        </is>
      </c>
      <c r="G111" s="18" t="inlineStr">
        <is>
          <t>(Sin Subgrupo)</t>
        </is>
      </c>
      <c r="H111" s="18" t="inlineStr">
        <is>
          <t>CAJA RAWELT 2X4 3/4"X4 SALIDAS - UND</t>
        </is>
      </c>
      <c r="I111" s="46" t="n">
        <v>4</v>
      </c>
      <c r="J111" s="47" t="n">
        <v>13143.25</v>
      </c>
      <c r="K111" s="47" t="n">
        <v>52573</v>
      </c>
      <c r="L111" s="18" t="inlineStr">
        <is>
          <t>IVA 19%</t>
        </is>
      </c>
      <c r="M111" s="47" t="n">
        <v>9988</v>
      </c>
      <c r="N111" s="47">
        <f>K111+M111</f>
        <v/>
      </c>
      <c r="O111" s="18" t="inlineStr">
        <is>
          <t>LAURA SOFIA SALAS ROSERO</t>
        </is>
      </c>
      <c r="P111" s="18" t="inlineStr">
        <is>
          <t>ELECTRICOS DEL VALLE SAS</t>
        </is>
      </c>
      <c r="Q111" s="18" t="inlineStr">
        <is>
          <t>PLANEADA</t>
        </is>
      </c>
      <c r="R111" s="18" t="inlineStr">
        <is>
          <t>MINI GRANJAS</t>
        </is>
      </c>
      <c r="S111" s="18" t="inlineStr"/>
      <c r="T111" s="18" t="inlineStr">
        <is>
          <t>Cajas de paso y accesorios</t>
        </is>
      </c>
    </row>
    <row r="112">
      <c r="A112" s="42" t="n">
        <v>46134.64243055556</v>
      </c>
      <c r="B112" s="16" t="n">
        <v>2731</v>
      </c>
      <c r="C112" s="16" t="n">
        <v>2039</v>
      </c>
      <c r="D112" s="16" t="inlineStr">
        <is>
          <t>GENERADA</t>
        </is>
      </c>
      <c r="E112" s="16" t="inlineStr">
        <is>
          <t>PENDIENTE</t>
        </is>
      </c>
      <c r="F112" s="16" t="inlineStr">
        <is>
          <t>Set (Electrico) Suministro</t>
        </is>
      </c>
      <c r="G112" s="16" t="inlineStr">
        <is>
          <t>(Sin Subgrupo)</t>
        </is>
      </c>
      <c r="H112" s="16" t="inlineStr">
        <is>
          <t>TUBO 3/4" EMT 3MTS S/UNION - UND</t>
        </is>
      </c>
      <c r="I112" s="43" t="n">
        <v>17</v>
      </c>
      <c r="J112" s="44" t="n">
        <v>13578.17</v>
      </c>
      <c r="K112" s="44" t="n">
        <v>230828.89</v>
      </c>
      <c r="L112" s="16" t="inlineStr">
        <is>
          <t>IVA 19%</t>
        </is>
      </c>
      <c r="M112" s="44" t="n">
        <v>43857</v>
      </c>
      <c r="N112" s="44">
        <f>K112+M112</f>
        <v/>
      </c>
      <c r="O112" s="16" t="inlineStr">
        <is>
          <t>LAURA SOFIA SALAS ROSERO</t>
        </is>
      </c>
      <c r="P112" s="16" t="inlineStr">
        <is>
          <t>ELECTRICOS DEL VALLE SAS</t>
        </is>
      </c>
      <c r="Q112" s="16" t="inlineStr">
        <is>
          <t>PLANEADA</t>
        </is>
      </c>
      <c r="R112" s="16" t="inlineStr">
        <is>
          <t>MINI GRANJAS</t>
        </is>
      </c>
      <c r="S112" s="16" t="inlineStr"/>
      <c r="T112" s="16" t="inlineStr">
        <is>
          <t>Canalización y tubería</t>
        </is>
      </c>
    </row>
    <row r="113">
      <c r="A113" s="45" t="n">
        <v>46134.64243055556</v>
      </c>
      <c r="B113" s="18" t="n">
        <v>2731</v>
      </c>
      <c r="C113" s="18" t="n">
        <v>2039</v>
      </c>
      <c r="D113" s="18" t="inlineStr">
        <is>
          <t>GENERADA</t>
        </is>
      </c>
      <c r="E113" s="18" t="inlineStr">
        <is>
          <t>PENDIENTE</t>
        </is>
      </c>
      <c r="F113" s="18" t="inlineStr">
        <is>
          <t>Set (Electrico) Suministro</t>
        </is>
      </c>
      <c r="G113" s="18" t="inlineStr">
        <is>
          <t>(Sin Subgrupo)</t>
        </is>
      </c>
      <c r="H113" s="18" t="inlineStr">
        <is>
          <t>ADAPTADOR 3" EMT ACERO E.V - UND</t>
        </is>
      </c>
      <c r="I113" s="46" t="n">
        <v>4</v>
      </c>
      <c r="J113" s="47" t="n">
        <v>15829.75</v>
      </c>
      <c r="K113" s="47" t="n">
        <v>63319</v>
      </c>
      <c r="L113" s="18" t="inlineStr">
        <is>
          <t>IVA 19%</t>
        </is>
      </c>
      <c r="M113" s="47" t="n">
        <v>12030</v>
      </c>
      <c r="N113" s="47">
        <f>K113+M113</f>
        <v/>
      </c>
      <c r="O113" s="18" t="inlineStr">
        <is>
          <t>LAURA SOFIA SALAS ROSERO</t>
        </is>
      </c>
      <c r="P113" s="18" t="inlineStr">
        <is>
          <t>ELECTRICOS DEL VALLE SAS</t>
        </is>
      </c>
      <c r="Q113" s="18" t="inlineStr">
        <is>
          <t>PLANEADA</t>
        </is>
      </c>
      <c r="R113" s="18" t="inlineStr">
        <is>
          <t>MINI GRANJAS</t>
        </is>
      </c>
      <c r="S113" s="18" t="inlineStr"/>
      <c r="T113" s="18" t="inlineStr">
        <is>
          <t>Canalización y tubería</t>
        </is>
      </c>
    </row>
    <row r="114">
      <c r="A114" s="42" t="n">
        <v>46134.64243055556</v>
      </c>
      <c r="B114" s="16" t="n">
        <v>2731</v>
      </c>
      <c r="C114" s="16" t="n">
        <v>2039</v>
      </c>
      <c r="D114" s="16" t="inlineStr">
        <is>
          <t>GENERADA</t>
        </is>
      </c>
      <c r="E114" s="16" t="inlineStr">
        <is>
          <t>PENDIENTE</t>
        </is>
      </c>
      <c r="F114" s="16" t="inlineStr">
        <is>
          <t>C. Canalizaciones</t>
        </is>
      </c>
      <c r="G114" s="16" t="inlineStr">
        <is>
          <t>(Sin Subgrupo)</t>
        </is>
      </c>
      <c r="H114" s="16" t="inlineStr">
        <is>
          <t>CORAZA AMERICANA 2" - UND</t>
        </is>
      </c>
      <c r="I114" s="43" t="n">
        <v>26</v>
      </c>
      <c r="J114" s="44" t="n">
        <v>16045.26</v>
      </c>
      <c r="K114" s="44" t="n">
        <v>417176.76</v>
      </c>
      <c r="L114" s="16" t="inlineStr">
        <is>
          <t>IVA 19%</t>
        </is>
      </c>
      <c r="M114" s="44" t="n">
        <v>79263</v>
      </c>
      <c r="N114" s="44">
        <f>K114+M114</f>
        <v/>
      </c>
      <c r="O114" s="16" t="inlineStr">
        <is>
          <t>LAURA SOFIA SALAS ROSERO</t>
        </is>
      </c>
      <c r="P114" s="16" t="inlineStr">
        <is>
          <t>ELECTRICOS DEL VALLE SAS</t>
        </is>
      </c>
      <c r="Q114" s="16" t="inlineStr">
        <is>
          <t>PLANEADA</t>
        </is>
      </c>
      <c r="R114" s="16" t="inlineStr">
        <is>
          <t>MINI GRANJAS</t>
        </is>
      </c>
      <c r="S114" s="16" t="inlineStr"/>
      <c r="T114" s="16" t="inlineStr">
        <is>
          <t>Cableado y conductores</t>
        </is>
      </c>
    </row>
    <row r="115">
      <c r="A115" s="45" t="n">
        <v>46134.64243055556</v>
      </c>
      <c r="B115" s="18" t="n">
        <v>2731</v>
      </c>
      <c r="C115" s="18" t="n">
        <v>2039</v>
      </c>
      <c r="D115" s="18" t="inlineStr">
        <is>
          <t>GENERADA</t>
        </is>
      </c>
      <c r="E115" s="18" t="inlineStr">
        <is>
          <t>PENDIENTE</t>
        </is>
      </c>
      <c r="F115" s="18" t="inlineStr">
        <is>
          <t>Set (Electrico) Suministro</t>
        </is>
      </c>
      <c r="G115" s="18" t="inlineStr">
        <is>
          <t>(Sin Subgrupo)</t>
        </is>
      </c>
      <c r="H115" s="18" t="inlineStr">
        <is>
          <t>CORAZA AMERICANA 2" - UND</t>
        </is>
      </c>
      <c r="I115" s="46" t="n">
        <v>6</v>
      </c>
      <c r="J115" s="47" t="n">
        <v>16045.33</v>
      </c>
      <c r="K115" s="47" t="n">
        <v>96271.98</v>
      </c>
      <c r="L115" s="18" t="inlineStr">
        <is>
          <t>IVA 19%</t>
        </is>
      </c>
      <c r="M115" s="47" t="n">
        <v>18291</v>
      </c>
      <c r="N115" s="47">
        <f>K115+M115</f>
        <v/>
      </c>
      <c r="O115" s="18" t="inlineStr">
        <is>
          <t>LAURA SOFIA SALAS ROSERO</t>
        </is>
      </c>
      <c r="P115" s="18" t="inlineStr">
        <is>
          <t>ELECTRICOS DEL VALLE SAS</t>
        </is>
      </c>
      <c r="Q115" s="18" t="inlineStr">
        <is>
          <t>PLANEADA</t>
        </is>
      </c>
      <c r="R115" s="18" t="inlineStr">
        <is>
          <t>MINI GRANJAS</t>
        </is>
      </c>
      <c r="S115" s="18" t="inlineStr"/>
      <c r="T115" s="18" t="inlineStr">
        <is>
          <t>Cableado y conductores</t>
        </is>
      </c>
    </row>
    <row r="116">
      <c r="A116" s="42" t="n">
        <v>46134.64243055556</v>
      </c>
      <c r="B116" s="16" t="n">
        <v>2731</v>
      </c>
      <c r="C116" s="16" t="n">
        <v>2039</v>
      </c>
      <c r="D116" s="16" t="inlineStr">
        <is>
          <t>GENERADA</t>
        </is>
      </c>
      <c r="E116" s="16" t="inlineStr">
        <is>
          <t>PENDIENTE</t>
        </is>
      </c>
      <c r="F116" s="16" t="inlineStr">
        <is>
          <t>Set (Electrico) Suministro</t>
        </is>
      </c>
      <c r="G116" s="16" t="inlineStr">
        <is>
          <t>(Sin Subgrupo)</t>
        </is>
      </c>
      <c r="H116" s="16" t="inlineStr">
        <is>
          <t>CONECTOR  BIMETALUCO 1 PERNO 6-2-0 1021B - UND</t>
        </is>
      </c>
      <c r="I116" s="43" t="n">
        <v>9</v>
      </c>
      <c r="J116" s="44" t="n">
        <v>19490.22</v>
      </c>
      <c r="K116" s="44" t="n">
        <v>175411.98</v>
      </c>
      <c r="L116" s="16" t="inlineStr">
        <is>
          <t>IVA 19%</t>
        </is>
      </c>
      <c r="M116" s="44" t="n">
        <v>33328</v>
      </c>
      <c r="N116" s="44">
        <f>K116+M116</f>
        <v/>
      </c>
      <c r="O116" s="16" t="inlineStr">
        <is>
          <t>LAURA SOFIA SALAS ROSERO</t>
        </is>
      </c>
      <c r="P116" s="16" t="inlineStr">
        <is>
          <t>ELECTRICOS DEL VALLE SAS</t>
        </is>
      </c>
      <c r="Q116" s="16" t="inlineStr">
        <is>
          <t>PLANEADA</t>
        </is>
      </c>
      <c r="R116" s="16" t="inlineStr">
        <is>
          <t>MINI GRANJAS</t>
        </is>
      </c>
      <c r="S116" s="16" t="inlineStr"/>
      <c r="T116" s="16" t="inlineStr">
        <is>
          <t>Cableado y conductores</t>
        </is>
      </c>
    </row>
    <row r="117">
      <c r="A117" s="45" t="n">
        <v>46134.64243055556</v>
      </c>
      <c r="B117" s="18" t="n">
        <v>2731</v>
      </c>
      <c r="C117" s="18" t="n">
        <v>2039</v>
      </c>
      <c r="D117" s="18" t="inlineStr">
        <is>
          <t>GENERADA</t>
        </is>
      </c>
      <c r="E117" s="18" t="inlineStr">
        <is>
          <t>PENDIENTE</t>
        </is>
      </c>
      <c r="F117" s="18" t="inlineStr">
        <is>
          <t>Set (Electrico) Suministro</t>
        </is>
      </c>
      <c r="G117" s="18" t="inlineStr">
        <is>
          <t>(Sin Subgrupo)</t>
        </is>
      </c>
      <c r="H117" s="18" t="inlineStr">
        <is>
          <t>ESPIRAL 1/2" - UND</t>
        </is>
      </c>
      <c r="I117" s="46" t="n">
        <v>3</v>
      </c>
      <c r="J117" s="47" t="n">
        <v>19989.33</v>
      </c>
      <c r="K117" s="47" t="n">
        <v>59967.99</v>
      </c>
      <c r="L117" s="18" t="inlineStr">
        <is>
          <t>IVA 19%</t>
        </is>
      </c>
      <c r="M117" s="47" t="n">
        <v>11393</v>
      </c>
      <c r="N117" s="47">
        <f>K117+M117</f>
        <v/>
      </c>
      <c r="O117" s="18" t="inlineStr">
        <is>
          <t>LAURA SOFIA SALAS ROSERO</t>
        </is>
      </c>
      <c r="P117" s="18" t="inlineStr">
        <is>
          <t>ELECTRICOS DEL VALLE SAS</t>
        </is>
      </c>
      <c r="Q117" s="18" t="inlineStr">
        <is>
          <t>PLANEADA</t>
        </is>
      </c>
      <c r="R117" s="18" t="inlineStr">
        <is>
          <t>MINI GRANJAS</t>
        </is>
      </c>
      <c r="S117" s="18" t="inlineStr"/>
      <c r="T117" s="18" t="inlineStr">
        <is>
          <t>Otros / sin clasificar</t>
        </is>
      </c>
    </row>
    <row r="118">
      <c r="A118" s="42" t="n">
        <v>46134.64243055556</v>
      </c>
      <c r="B118" s="16" t="n">
        <v>2731</v>
      </c>
      <c r="C118" s="16" t="n">
        <v>2039</v>
      </c>
      <c r="D118" s="16" t="inlineStr">
        <is>
          <t>GENERADA</t>
        </is>
      </c>
      <c r="E118" s="16" t="inlineStr">
        <is>
          <t>PENDIENTE</t>
        </is>
      </c>
      <c r="F118" s="16" t="inlineStr">
        <is>
          <t>Set (Electrico) Suministro</t>
        </is>
      </c>
      <c r="G118" s="16" t="inlineStr">
        <is>
          <t>(Sin Subgrupo)</t>
        </is>
      </c>
      <c r="H118" s="16" t="inlineStr">
        <is>
          <t>MINIBREAKER MONOPOLAR PARA RIEL 6AMP SIEMENS - UND</t>
        </is>
      </c>
      <c r="I118" s="43" t="n">
        <v>2</v>
      </c>
      <c r="J118" s="44" t="n">
        <v>21022.5</v>
      </c>
      <c r="K118" s="44" t="n">
        <v>42045</v>
      </c>
      <c r="L118" s="16" t="inlineStr">
        <is>
          <t>IVA 19%</t>
        </is>
      </c>
      <c r="M118" s="44" t="n">
        <v>7988</v>
      </c>
      <c r="N118" s="44">
        <f>K118+M118</f>
        <v/>
      </c>
      <c r="O118" s="16" t="inlineStr">
        <is>
          <t>LAURA SOFIA SALAS ROSERO</t>
        </is>
      </c>
      <c r="P118" s="16" t="inlineStr">
        <is>
          <t>ELECTRICOS DEL VALLE SAS</t>
        </is>
      </c>
      <c r="Q118" s="16" t="inlineStr">
        <is>
          <t>PLANEADA</t>
        </is>
      </c>
      <c r="R118" s="16" t="inlineStr">
        <is>
          <t>MINI GRANJAS</t>
        </is>
      </c>
      <c r="S118" s="16" t="inlineStr"/>
      <c r="T118" s="16" t="inlineStr">
        <is>
          <t>Estructura y soportería solar</t>
        </is>
      </c>
    </row>
    <row r="119">
      <c r="A119" s="45" t="n">
        <v>46134.64243055556</v>
      </c>
      <c r="B119" s="18" t="n">
        <v>2731</v>
      </c>
      <c r="C119" s="18" t="n">
        <v>2039</v>
      </c>
      <c r="D119" s="18" t="inlineStr">
        <is>
          <t>GENERADA</t>
        </is>
      </c>
      <c r="E119" s="18" t="inlineStr">
        <is>
          <t>PENDIENTE</t>
        </is>
      </c>
      <c r="F119" s="18" t="inlineStr">
        <is>
          <t>Set (Electrico) Suministro</t>
        </is>
      </c>
      <c r="G119" s="18" t="inlineStr">
        <is>
          <t>(Sin Subgrupo)</t>
        </is>
      </c>
      <c r="H119" s="18" t="inlineStr">
        <is>
          <t>ADAPTADOR 4"EMT - UND</t>
        </is>
      </c>
      <c r="I119" s="46" t="n">
        <v>2</v>
      </c>
      <c r="J119" s="47" t="n">
        <v>23703</v>
      </c>
      <c r="K119" s="47" t="n">
        <v>47406</v>
      </c>
      <c r="L119" s="18" t="inlineStr">
        <is>
          <t>IVA 19%</t>
        </is>
      </c>
      <c r="M119" s="47" t="n">
        <v>9007</v>
      </c>
      <c r="N119" s="47">
        <f>K119+M119</f>
        <v/>
      </c>
      <c r="O119" s="18" t="inlineStr">
        <is>
          <t>LAURA SOFIA SALAS ROSERO</t>
        </is>
      </c>
      <c r="P119" s="18" t="inlineStr">
        <is>
          <t>ELECTRICOS DEL VALLE SAS</t>
        </is>
      </c>
      <c r="Q119" s="18" t="inlineStr">
        <is>
          <t>PLANEADA</t>
        </is>
      </c>
      <c r="R119" s="18" t="inlineStr">
        <is>
          <t>MINI GRANJAS</t>
        </is>
      </c>
      <c r="S119" s="18" t="inlineStr"/>
      <c r="T119" s="18" t="inlineStr">
        <is>
          <t>Canalización y tubería</t>
        </is>
      </c>
    </row>
    <row r="120">
      <c r="A120" s="42" t="n">
        <v>46134.64243055556</v>
      </c>
      <c r="B120" s="16" t="n">
        <v>2731</v>
      </c>
      <c r="C120" s="16" t="n">
        <v>2039</v>
      </c>
      <c r="D120" s="16" t="inlineStr">
        <is>
          <t>GENERADA</t>
        </is>
      </c>
      <c r="E120" s="16" t="inlineStr">
        <is>
          <t>PENDIENTE</t>
        </is>
      </c>
      <c r="F120" s="16" t="inlineStr">
        <is>
          <t>Set (Electrico) Suministro</t>
        </is>
      </c>
      <c r="G120" s="16" t="inlineStr">
        <is>
          <t>(Sin Subgrupo)</t>
        </is>
      </c>
      <c r="H120" s="16" t="inlineStr">
        <is>
          <t>CAJA RAWELT 4X4 1/2"X4 SALIDAS - UND</t>
        </is>
      </c>
      <c r="I120" s="43" t="n">
        <v>6</v>
      </c>
      <c r="J120" s="44" t="n">
        <v>23710.66</v>
      </c>
      <c r="K120" s="44" t="n">
        <v>142263.96</v>
      </c>
      <c r="L120" s="16" t="inlineStr">
        <is>
          <t>IVA 19%</t>
        </is>
      </c>
      <c r="M120" s="44" t="n">
        <v>27030</v>
      </c>
      <c r="N120" s="44">
        <f>K120+M120</f>
        <v/>
      </c>
      <c r="O120" s="16" t="inlineStr">
        <is>
          <t>LAURA SOFIA SALAS ROSERO</t>
        </is>
      </c>
      <c r="P120" s="16" t="inlineStr">
        <is>
          <t>ELECTRICOS DEL VALLE SAS</t>
        </is>
      </c>
      <c r="Q120" s="16" t="inlineStr">
        <is>
          <t>PLANEADA</t>
        </is>
      </c>
      <c r="R120" s="16" t="inlineStr">
        <is>
          <t>MINI GRANJAS</t>
        </is>
      </c>
      <c r="S120" s="16" t="inlineStr"/>
      <c r="T120" s="16" t="inlineStr">
        <is>
          <t>Cajas de paso y accesorios</t>
        </is>
      </c>
    </row>
    <row r="121">
      <c r="A121" s="45" t="n">
        <v>46134.64243055556</v>
      </c>
      <c r="B121" s="18" t="n">
        <v>2731</v>
      </c>
      <c r="C121" s="18" t="n">
        <v>2039</v>
      </c>
      <c r="D121" s="18" t="inlineStr">
        <is>
          <t>GENERADA</t>
        </is>
      </c>
      <c r="E121" s="18" t="inlineStr">
        <is>
          <t>PENDIENTE</t>
        </is>
      </c>
      <c r="F121" s="18" t="inlineStr">
        <is>
          <t>Set (Electrico) Suministro</t>
        </is>
      </c>
      <c r="G121" s="18" t="inlineStr">
        <is>
          <t>(Sin Subgrupo)</t>
        </is>
      </c>
      <c r="H121" s="18" t="inlineStr">
        <is>
          <t>CAJA RAWELT 4X4 3/4"X4 SALIDAS - UND</t>
        </is>
      </c>
      <c r="I121" s="46" t="n">
        <v>12</v>
      </c>
      <c r="J121" s="47" t="n">
        <v>24306.58</v>
      </c>
      <c r="K121" s="47" t="n">
        <v>291678.96</v>
      </c>
      <c r="L121" s="18" t="inlineStr">
        <is>
          <t>IVA 19%</t>
        </is>
      </c>
      <c r="M121" s="47" t="n">
        <v>55419</v>
      </c>
      <c r="N121" s="47">
        <f>K121+M121</f>
        <v/>
      </c>
      <c r="O121" s="18" t="inlineStr">
        <is>
          <t>LAURA SOFIA SALAS ROSERO</t>
        </is>
      </c>
      <c r="P121" s="18" t="inlineStr">
        <is>
          <t>ELECTRICOS DEL VALLE SAS</t>
        </is>
      </c>
      <c r="Q121" s="18" t="inlineStr">
        <is>
          <t>PLANEADA</t>
        </is>
      </c>
      <c r="R121" s="18" t="inlineStr">
        <is>
          <t>MINI GRANJAS</t>
        </is>
      </c>
      <c r="S121" s="18" t="inlineStr"/>
      <c r="T121" s="18" t="inlineStr">
        <is>
          <t>Cajas de paso y accesorios</t>
        </is>
      </c>
    </row>
    <row r="122">
      <c r="A122" s="42" t="n">
        <v>46134.64243055556</v>
      </c>
      <c r="B122" s="16" t="n">
        <v>2731</v>
      </c>
      <c r="C122" s="16" t="n">
        <v>2039</v>
      </c>
      <c r="D122" s="16" t="inlineStr">
        <is>
          <t>GENERADA</t>
        </is>
      </c>
      <c r="E122" s="16" t="inlineStr">
        <is>
          <t>PENDIENTE</t>
        </is>
      </c>
      <c r="F122" s="16" t="inlineStr">
        <is>
          <t>Set (Electrico) Suministro</t>
        </is>
      </c>
      <c r="G122" s="16" t="inlineStr">
        <is>
          <t>(Sin Subgrupo)</t>
        </is>
      </c>
      <c r="H122" s="16" t="inlineStr">
        <is>
          <t>REFLECTOR LED 20W - UND</t>
        </is>
      </c>
      <c r="I122" s="43" t="n">
        <v>3</v>
      </c>
      <c r="J122" s="44" t="n">
        <v>28667</v>
      </c>
      <c r="K122" s="44" t="n">
        <v>86001</v>
      </c>
      <c r="L122" s="16" t="inlineStr">
        <is>
          <t>IVA 19%</t>
        </is>
      </c>
      <c r="M122" s="44" t="n">
        <v>16340</v>
      </c>
      <c r="N122" s="44">
        <f>K122+M122</f>
        <v/>
      </c>
      <c r="O122" s="16" t="inlineStr">
        <is>
          <t>LAURA SOFIA SALAS ROSERO</t>
        </is>
      </c>
      <c r="P122" s="16" t="inlineStr">
        <is>
          <t>ELECTRICOS DEL VALLE SAS</t>
        </is>
      </c>
      <c r="Q122" s="16" t="inlineStr">
        <is>
          <t>PLANEADA</t>
        </is>
      </c>
      <c r="R122" s="16" t="inlineStr">
        <is>
          <t>MINI GRANJAS</t>
        </is>
      </c>
      <c r="S122" s="16" t="inlineStr"/>
      <c r="T122" s="16" t="inlineStr">
        <is>
          <t>Otros / sin clasificar</t>
        </is>
      </c>
    </row>
    <row r="123">
      <c r="A123" s="45" t="n">
        <v>46134.64243055556</v>
      </c>
      <c r="B123" s="18" t="n">
        <v>2731</v>
      </c>
      <c r="C123" s="18" t="n">
        <v>2039</v>
      </c>
      <c r="D123" s="18" t="inlineStr">
        <is>
          <t>GENERADA</t>
        </is>
      </c>
      <c r="E123" s="18" t="inlineStr">
        <is>
          <t>PENDIENTE</t>
        </is>
      </c>
      <c r="F123" s="18" t="inlineStr">
        <is>
          <t>Set (Electrico) Suministro</t>
        </is>
      </c>
      <c r="G123" s="18" t="inlineStr">
        <is>
          <t>(Sin Subgrupo)</t>
        </is>
      </c>
      <c r="H123" s="18" t="inlineStr">
        <is>
          <t>CAJA EMPALME  8X8X6 PULGADA C/CHAPA -16 TERCOL - UND</t>
        </is>
      </c>
      <c r="I123" s="46" t="n">
        <v>1</v>
      </c>
      <c r="J123" s="47" t="n">
        <v>29447</v>
      </c>
      <c r="K123" s="47" t="n">
        <v>29447</v>
      </c>
      <c r="L123" s="18" t="inlineStr">
        <is>
          <t>IVA 19%</t>
        </is>
      </c>
      <c r="M123" s="47" t="n">
        <v>5594</v>
      </c>
      <c r="N123" s="47">
        <f>K123+M123</f>
        <v/>
      </c>
      <c r="O123" s="18" t="inlineStr">
        <is>
          <t>LAURA SOFIA SALAS ROSERO</t>
        </is>
      </c>
      <c r="P123" s="18" t="inlineStr">
        <is>
          <t>ELECTRICOS DEL VALLE SAS</t>
        </is>
      </c>
      <c r="Q123" s="18" t="inlineStr">
        <is>
          <t>PLANEADA</t>
        </is>
      </c>
      <c r="R123" s="18" t="inlineStr">
        <is>
          <t>MINI GRANJAS</t>
        </is>
      </c>
      <c r="S123" s="18" t="inlineStr"/>
      <c r="T123" s="18" t="inlineStr">
        <is>
          <t>Cajas de paso y accesorios</t>
        </is>
      </c>
    </row>
    <row r="124">
      <c r="A124" s="42" t="n">
        <v>46134.64243055556</v>
      </c>
      <c r="B124" s="16" t="n">
        <v>2731</v>
      </c>
      <c r="C124" s="16" t="n">
        <v>2039</v>
      </c>
      <c r="D124" s="16" t="inlineStr">
        <is>
          <t>GENERADA</t>
        </is>
      </c>
      <c r="E124" s="16" t="inlineStr">
        <is>
          <t>PENDIENTE</t>
        </is>
      </c>
      <c r="F124" s="16" t="inlineStr">
        <is>
          <t>C. Canalizaciones</t>
        </is>
      </c>
      <c r="G124" s="16" t="inlineStr">
        <is>
          <t>(Sin Subgrupo)</t>
        </is>
      </c>
      <c r="H124" s="16" t="inlineStr">
        <is>
          <t>CONECTOR RECTO DE CORAZA  3" - UND</t>
        </is>
      </c>
      <c r="I124" s="43" t="n">
        <v>18</v>
      </c>
      <c r="J124" s="44" t="n">
        <v>34467.5</v>
      </c>
      <c r="K124" s="44" t="n">
        <v>620415</v>
      </c>
      <c r="L124" s="16" t="inlineStr">
        <is>
          <t>IVA 19%</t>
        </is>
      </c>
      <c r="M124" s="44" t="n">
        <v>117878</v>
      </c>
      <c r="N124" s="44">
        <f>K124+M124</f>
        <v/>
      </c>
      <c r="O124" s="16" t="inlineStr">
        <is>
          <t>LAURA SOFIA SALAS ROSERO</t>
        </is>
      </c>
      <c r="P124" s="16" t="inlineStr">
        <is>
          <t>ELECTRICOS DEL VALLE SAS</t>
        </is>
      </c>
      <c r="Q124" s="16" t="inlineStr">
        <is>
          <t>PLANEADA</t>
        </is>
      </c>
      <c r="R124" s="16" t="inlineStr">
        <is>
          <t>MINI GRANJAS</t>
        </is>
      </c>
      <c r="S124" s="16" t="inlineStr"/>
      <c r="T124" s="16" t="inlineStr">
        <is>
          <t>Cableado y conductores</t>
        </is>
      </c>
    </row>
    <row r="125">
      <c r="A125" s="45" t="n">
        <v>46134.64243055556</v>
      </c>
      <c r="B125" s="18" t="n">
        <v>2731</v>
      </c>
      <c r="C125" s="18" t="n">
        <v>2039</v>
      </c>
      <c r="D125" s="18" t="inlineStr">
        <is>
          <t>GENERADA</t>
        </is>
      </c>
      <c r="E125" s="18" t="inlineStr">
        <is>
          <t>PENDIENTE</t>
        </is>
      </c>
      <c r="F125" s="18" t="inlineStr">
        <is>
          <t>Set (Electrico) Suministro</t>
        </is>
      </c>
      <c r="G125" s="18" t="inlineStr">
        <is>
          <t>(Sin Subgrupo)</t>
        </is>
      </c>
      <c r="H125" s="18" t="inlineStr">
        <is>
          <t>ESPIRAL 3/4" - UND</t>
        </is>
      </c>
      <c r="I125" s="46" t="n">
        <v>8</v>
      </c>
      <c r="J125" s="47" t="n">
        <v>35420.5</v>
      </c>
      <c r="K125" s="47" t="n">
        <v>283364</v>
      </c>
      <c r="L125" s="18" t="inlineStr">
        <is>
          <t>IVA 19%</t>
        </is>
      </c>
      <c r="M125" s="47" t="n">
        <v>53839</v>
      </c>
      <c r="N125" s="47">
        <f>K125+M125</f>
        <v/>
      </c>
      <c r="O125" s="18" t="inlineStr">
        <is>
          <t>LAURA SOFIA SALAS ROSERO</t>
        </is>
      </c>
      <c r="P125" s="18" t="inlineStr">
        <is>
          <t>ELECTRICOS DEL VALLE SAS</t>
        </is>
      </c>
      <c r="Q125" s="18" t="inlineStr">
        <is>
          <t>PLANEADA</t>
        </is>
      </c>
      <c r="R125" s="18" t="inlineStr">
        <is>
          <t>MINI GRANJAS</t>
        </is>
      </c>
      <c r="S125" s="18" t="inlineStr"/>
      <c r="T125" s="18" t="inlineStr">
        <is>
          <t>Otros / sin clasificar</t>
        </is>
      </c>
    </row>
    <row r="126">
      <c r="A126" s="42" t="n">
        <v>46134.64243055556</v>
      </c>
      <c r="B126" s="16" t="n">
        <v>2731</v>
      </c>
      <c r="C126" s="16" t="n">
        <v>2039</v>
      </c>
      <c r="D126" s="16" t="inlineStr">
        <is>
          <t>GENERADA</t>
        </is>
      </c>
      <c r="E126" s="16" t="inlineStr">
        <is>
          <t>PENDIENTE</t>
        </is>
      </c>
      <c r="F126" s="16" t="inlineStr">
        <is>
          <t>Set (Electrico) Suministro</t>
        </is>
      </c>
      <c r="G126" s="16" t="inlineStr">
        <is>
          <t>(Sin Subgrupo)</t>
        </is>
      </c>
      <c r="H126" s="16" t="inlineStr">
        <is>
          <t>LAMPARA T8 1,20 MTS DOBLE TUBO LED 2X18W - UND</t>
        </is>
      </c>
      <c r="I126" s="43" t="n">
        <v>2</v>
      </c>
      <c r="J126" s="44" t="n">
        <v>38359</v>
      </c>
      <c r="K126" s="44" t="n">
        <v>76718</v>
      </c>
      <c r="L126" s="16" t="inlineStr">
        <is>
          <t>IVA 19%</t>
        </is>
      </c>
      <c r="M126" s="44" t="n">
        <v>14576</v>
      </c>
      <c r="N126" s="44">
        <f>K126+M126</f>
        <v/>
      </c>
      <c r="O126" s="16" t="inlineStr">
        <is>
          <t>LAURA SOFIA SALAS ROSERO</t>
        </is>
      </c>
      <c r="P126" s="16" t="inlineStr">
        <is>
          <t>ELECTRICOS DEL VALLE SAS</t>
        </is>
      </c>
      <c r="Q126" s="16" t="inlineStr">
        <is>
          <t>PLANEADA</t>
        </is>
      </c>
      <c r="R126" s="16" t="inlineStr">
        <is>
          <t>MINI GRANJAS</t>
        </is>
      </c>
      <c r="S126" s="16" t="inlineStr"/>
      <c r="T126" s="16" t="inlineStr">
        <is>
          <t>Canalización y tubería</t>
        </is>
      </c>
    </row>
    <row r="127">
      <c r="A127" s="45" t="n">
        <v>46134.64243055556</v>
      </c>
      <c r="B127" s="18" t="n">
        <v>2731</v>
      </c>
      <c r="C127" s="18" t="n">
        <v>2039</v>
      </c>
      <c r="D127" s="18" t="inlineStr">
        <is>
          <t>GENERADA</t>
        </is>
      </c>
      <c r="E127" s="18" t="inlineStr">
        <is>
          <t>PENDIENTE</t>
        </is>
      </c>
      <c r="F127" s="18" t="inlineStr">
        <is>
          <t>Set (Electrico) Suministro</t>
        </is>
      </c>
      <c r="G127" s="18" t="inlineStr">
        <is>
          <t>(Sin Subgrupo)</t>
        </is>
      </c>
      <c r="H127" s="18" t="inlineStr">
        <is>
          <t>BORNA 500 MCM TERMINAL 1/H 31067 3M - UND</t>
        </is>
      </c>
      <c r="I127" s="46" t="n">
        <v>20</v>
      </c>
      <c r="J127" s="47" t="n">
        <v>41483.75</v>
      </c>
      <c r="K127" s="47" t="n">
        <v>829675</v>
      </c>
      <c r="L127" s="18" t="inlineStr">
        <is>
          <t>IVA 19%</t>
        </is>
      </c>
      <c r="M127" s="47" t="n">
        <v>157638</v>
      </c>
      <c r="N127" s="47">
        <f>K127+M127</f>
        <v/>
      </c>
      <c r="O127" s="18" t="inlineStr">
        <is>
          <t>LAURA SOFIA SALAS ROSERO</t>
        </is>
      </c>
      <c r="P127" s="18" t="inlineStr">
        <is>
          <t>ELECTRICOS DEL VALLE SAS</t>
        </is>
      </c>
      <c r="Q127" s="18" t="inlineStr">
        <is>
          <t>PLANEADA</t>
        </is>
      </c>
      <c r="R127" s="18" t="inlineStr">
        <is>
          <t>MINI GRANJAS</t>
        </is>
      </c>
      <c r="S127" s="18" t="inlineStr"/>
      <c r="T127" s="18" t="inlineStr">
        <is>
          <t>Cableado y conductores</t>
        </is>
      </c>
    </row>
    <row r="128">
      <c r="A128" s="42" t="n">
        <v>46134.64243055556</v>
      </c>
      <c r="B128" s="16" t="n">
        <v>2731</v>
      </c>
      <c r="C128" s="16" t="n">
        <v>2039</v>
      </c>
      <c r="D128" s="16" t="inlineStr">
        <is>
          <t>GENERADA</t>
        </is>
      </c>
      <c r="E128" s="16" t="inlineStr">
        <is>
          <t>PENDIENTE</t>
        </is>
      </c>
      <c r="F128" s="16" t="inlineStr">
        <is>
          <t>Set (Electrico) Suministro</t>
        </is>
      </c>
      <c r="G128" s="16" t="inlineStr">
        <is>
          <t>(Sin Subgrupo)</t>
        </is>
      </c>
      <c r="H128" s="16" t="inlineStr">
        <is>
          <t>CINTA AUTOFUNDENTE (W963 PLYMOUTH) 1907-2117 - UND</t>
        </is>
      </c>
      <c r="I128" s="43" t="n">
        <v>10</v>
      </c>
      <c r="J128" s="44" t="n">
        <v>42565.6</v>
      </c>
      <c r="K128" s="44" t="n">
        <v>425656</v>
      </c>
      <c r="L128" s="16" t="inlineStr">
        <is>
          <t>IVA 19%</t>
        </is>
      </c>
      <c r="M128" s="44" t="n">
        <v>80874</v>
      </c>
      <c r="N128" s="44">
        <f>K128+M128</f>
        <v/>
      </c>
      <c r="O128" s="16" t="inlineStr">
        <is>
          <t>LAURA SOFIA SALAS ROSERO</t>
        </is>
      </c>
      <c r="P128" s="16" t="inlineStr">
        <is>
          <t>ELECTRICOS DEL VALLE SAS</t>
        </is>
      </c>
      <c r="Q128" s="16" t="inlineStr">
        <is>
          <t>PLANEADA</t>
        </is>
      </c>
      <c r="R128" s="16" t="inlineStr">
        <is>
          <t>MINI GRANJAS</t>
        </is>
      </c>
      <c r="S128" s="16" t="inlineStr"/>
      <c r="T128" s="16" t="inlineStr">
        <is>
          <t>Otros / sin clasificar</t>
        </is>
      </c>
    </row>
    <row r="129">
      <c r="A129" s="45" t="n">
        <v>46134.64243055556</v>
      </c>
      <c r="B129" s="18" t="n">
        <v>2731</v>
      </c>
      <c r="C129" s="18" t="n">
        <v>2039</v>
      </c>
      <c r="D129" s="18" t="inlineStr">
        <is>
          <t>GENERADA</t>
        </is>
      </c>
      <c r="E129" s="18" t="inlineStr">
        <is>
          <t>PENDIENTE</t>
        </is>
      </c>
      <c r="F129" s="18" t="inlineStr">
        <is>
          <t>Set (Electrico) Suministro</t>
        </is>
      </c>
      <c r="G129" s="18" t="inlineStr">
        <is>
          <t>(Sin Subgrupo)</t>
        </is>
      </c>
      <c r="H129" s="18" t="inlineStr">
        <is>
          <t>BORNA 500 MCM TERMINAL BIMETALICA - CILES - UND</t>
        </is>
      </c>
      <c r="I129" s="46" t="n">
        <v>32</v>
      </c>
      <c r="J129" s="47" t="n">
        <v>43351</v>
      </c>
      <c r="K129" s="47" t="n">
        <v>1387232</v>
      </c>
      <c r="L129" s="18" t="inlineStr">
        <is>
          <t>IVA 19%</t>
        </is>
      </c>
      <c r="M129" s="47" t="n">
        <v>263574</v>
      </c>
      <c r="N129" s="47">
        <f>K129+M129</f>
        <v/>
      </c>
      <c r="O129" s="18" t="inlineStr">
        <is>
          <t>LAURA SOFIA SALAS ROSERO</t>
        </is>
      </c>
      <c r="P129" s="18" t="inlineStr">
        <is>
          <t>ELECTRICOS DEL VALLE SAS</t>
        </is>
      </c>
      <c r="Q129" s="18" t="inlineStr">
        <is>
          <t>PLANEADA</t>
        </is>
      </c>
      <c r="R129" s="18" t="inlineStr">
        <is>
          <t>MINI GRANJAS</t>
        </is>
      </c>
      <c r="S129" s="18" t="inlineStr"/>
      <c r="T129" s="18" t="inlineStr">
        <is>
          <t>Cableado y conductores</t>
        </is>
      </c>
    </row>
    <row r="130">
      <c r="A130" s="42" t="n">
        <v>46134.64243055556</v>
      </c>
      <c r="B130" s="16" t="n">
        <v>2731</v>
      </c>
      <c r="C130" s="16" t="n">
        <v>2039</v>
      </c>
      <c r="D130" s="16" t="inlineStr">
        <is>
          <t>GENERADA</t>
        </is>
      </c>
      <c r="E130" s="16" t="inlineStr">
        <is>
          <t>PENDIENTE</t>
        </is>
      </c>
      <c r="F130" s="16" t="inlineStr">
        <is>
          <t>Set (Electrico) Suministro</t>
        </is>
      </c>
      <c r="G130" s="16" t="inlineStr">
        <is>
          <t>(Sin Subgrupo)</t>
        </is>
      </c>
      <c r="H130" s="16" t="inlineStr">
        <is>
          <t>CAJA REGISTRO DE INSPECCION PLASTICA CON TAPA - 30X30 CM 2002-30X30CM - UND</t>
        </is>
      </c>
      <c r="I130" s="43" t="n">
        <v>2</v>
      </c>
      <c r="J130" s="44" t="n">
        <v>45669.5</v>
      </c>
      <c r="K130" s="44" t="n">
        <v>91339</v>
      </c>
      <c r="L130" s="16" t="inlineStr">
        <is>
          <t>IVA 19%</t>
        </is>
      </c>
      <c r="M130" s="44" t="n">
        <v>17354</v>
      </c>
      <c r="N130" s="44">
        <f>K130+M130</f>
        <v/>
      </c>
      <c r="O130" s="16" t="inlineStr">
        <is>
          <t>LAURA SOFIA SALAS ROSERO</t>
        </is>
      </c>
      <c r="P130" s="16" t="inlineStr">
        <is>
          <t>ELECTRICOS DEL VALLE SAS</t>
        </is>
      </c>
      <c r="Q130" s="16" t="inlineStr">
        <is>
          <t>PLANEADA</t>
        </is>
      </c>
      <c r="R130" s="16" t="inlineStr">
        <is>
          <t>MINI GRANJAS</t>
        </is>
      </c>
      <c r="S130" s="16" t="inlineStr"/>
      <c r="T130" s="16" t="inlineStr">
        <is>
          <t>RETIE / Legalización / Medición</t>
        </is>
      </c>
    </row>
    <row r="131">
      <c r="A131" s="45" t="n">
        <v>46134.64243055556</v>
      </c>
      <c r="B131" s="18" t="n">
        <v>2731</v>
      </c>
      <c r="C131" s="18" t="n">
        <v>2039</v>
      </c>
      <c r="D131" s="18" t="inlineStr">
        <is>
          <t>GENERADA</t>
        </is>
      </c>
      <c r="E131" s="18" t="inlineStr">
        <is>
          <t>PENDIENTE</t>
        </is>
      </c>
      <c r="F131" s="18" t="inlineStr">
        <is>
          <t>Set (Electrico) Suministro</t>
        </is>
      </c>
      <c r="G131" s="18" t="inlineStr">
        <is>
          <t>(Sin Subgrupo)</t>
        </is>
      </c>
      <c r="H131" s="18" t="inlineStr">
        <is>
          <t>MINIBREAKER BIPOLAR PARA RIEL 6AMP SIEMENS - UND</t>
        </is>
      </c>
      <c r="I131" s="46" t="n">
        <v>2</v>
      </c>
      <c r="J131" s="47" t="n">
        <v>47301</v>
      </c>
      <c r="K131" s="47" t="n">
        <v>94602</v>
      </c>
      <c r="L131" s="18" t="inlineStr">
        <is>
          <t>IVA 19%</t>
        </is>
      </c>
      <c r="M131" s="47" t="n">
        <v>17974</v>
      </c>
      <c r="N131" s="47">
        <f>K131+M131</f>
        <v/>
      </c>
      <c r="O131" s="18" t="inlineStr">
        <is>
          <t>LAURA SOFIA SALAS ROSERO</t>
        </is>
      </c>
      <c r="P131" s="18" t="inlineStr">
        <is>
          <t>ELECTRICOS DEL VALLE SAS</t>
        </is>
      </c>
      <c r="Q131" s="18" t="inlineStr">
        <is>
          <t>PLANEADA</t>
        </is>
      </c>
      <c r="R131" s="18" t="inlineStr">
        <is>
          <t>MINI GRANJAS</t>
        </is>
      </c>
      <c r="S131" s="18" t="inlineStr"/>
      <c r="T131" s="18" t="inlineStr">
        <is>
          <t>Estructura y soportería solar</t>
        </is>
      </c>
    </row>
    <row r="132">
      <c r="A132" s="42" t="n">
        <v>46134.64243055556</v>
      </c>
      <c r="B132" s="16" t="n">
        <v>2731</v>
      </c>
      <c r="C132" s="16" t="n">
        <v>2039</v>
      </c>
      <c r="D132" s="16" t="inlineStr">
        <is>
          <t>GENERADA</t>
        </is>
      </c>
      <c r="E132" s="16" t="inlineStr">
        <is>
          <t>PENDIENTE</t>
        </is>
      </c>
      <c r="F132" s="16" t="inlineStr">
        <is>
          <t>Set (Electrico) Suministro</t>
        </is>
      </c>
      <c r="G132" s="16" t="inlineStr">
        <is>
          <t>(Sin Subgrupo)</t>
        </is>
      </c>
      <c r="H132" s="16" t="inlineStr">
        <is>
          <t>RIEL CHANNEL 4X2 RANURADO 3M - UND</t>
        </is>
      </c>
      <c r="I132" s="43" t="n">
        <v>4</v>
      </c>
      <c r="J132" s="44" t="n">
        <v>48670.25</v>
      </c>
      <c r="K132" s="44" t="n">
        <v>194681</v>
      </c>
      <c r="L132" s="16" t="inlineStr">
        <is>
          <t>IVA 19%</t>
        </is>
      </c>
      <c r="M132" s="44" t="n">
        <v>36989</v>
      </c>
      <c r="N132" s="44">
        <f>K132+M132</f>
        <v/>
      </c>
      <c r="O132" s="16" t="inlineStr">
        <is>
          <t>LAURA SOFIA SALAS ROSERO</t>
        </is>
      </c>
      <c r="P132" s="16" t="inlineStr">
        <is>
          <t>ELECTRICOS DEL VALLE SAS</t>
        </is>
      </c>
      <c r="Q132" s="16" t="inlineStr">
        <is>
          <t>PLANEADA</t>
        </is>
      </c>
      <c r="R132" s="16" t="inlineStr">
        <is>
          <t>MINI GRANJAS</t>
        </is>
      </c>
      <c r="S132" s="16" t="inlineStr"/>
      <c r="T132" s="16" t="inlineStr">
        <is>
          <t>Estructura y soportería solar</t>
        </is>
      </c>
    </row>
    <row r="133">
      <c r="A133" s="45" t="n">
        <v>46134.64243055556</v>
      </c>
      <c r="B133" s="18" t="n">
        <v>2731</v>
      </c>
      <c r="C133" s="18" t="n">
        <v>2039</v>
      </c>
      <c r="D133" s="18" t="inlineStr">
        <is>
          <t>GENERADA</t>
        </is>
      </c>
      <c r="E133" s="18" t="inlineStr">
        <is>
          <t>PENDIENTE</t>
        </is>
      </c>
      <c r="F133" s="18" t="inlineStr">
        <is>
          <t>Set (Electrico) Suministro</t>
        </is>
      </c>
      <c r="G133" s="18" t="inlineStr">
        <is>
          <t>(Sin Subgrupo)</t>
        </is>
      </c>
      <c r="H133" s="18" t="inlineStr">
        <is>
          <t>AMARRAS 21" PLÁSTICAS 55 CM 7.6 120 NEGRO DEXSON - UND</t>
        </is>
      </c>
      <c r="I133" s="46" t="n">
        <v>2</v>
      </c>
      <c r="J133" s="47" t="n">
        <v>62846.5</v>
      </c>
      <c r="K133" s="47" t="n">
        <v>125693</v>
      </c>
      <c r="L133" s="18" t="inlineStr">
        <is>
          <t>IVA 19%</t>
        </is>
      </c>
      <c r="M133" s="47" t="n">
        <v>23881</v>
      </c>
      <c r="N133" s="47">
        <f>K133+M133</f>
        <v/>
      </c>
      <c r="O133" s="18" t="inlineStr">
        <is>
          <t>LAURA SOFIA SALAS ROSERO</t>
        </is>
      </c>
      <c r="P133" s="18" t="inlineStr">
        <is>
          <t>ELECTRICOS DEL VALLE SAS</t>
        </is>
      </c>
      <c r="Q133" s="18" t="inlineStr">
        <is>
          <t>PLANEADA</t>
        </is>
      </c>
      <c r="R133" s="18" t="inlineStr">
        <is>
          <t>MINI GRANJAS</t>
        </is>
      </c>
      <c r="S133" s="18" t="inlineStr"/>
      <c r="T133" s="18" t="inlineStr">
        <is>
          <t>Otros / sin clasificar</t>
        </is>
      </c>
    </row>
    <row r="134">
      <c r="A134" s="42" t="n">
        <v>46134.64243055556</v>
      </c>
      <c r="B134" s="16" t="n">
        <v>2731</v>
      </c>
      <c r="C134" s="16" t="n">
        <v>2039</v>
      </c>
      <c r="D134" s="16" t="inlineStr">
        <is>
          <t>GENERADA</t>
        </is>
      </c>
      <c r="E134" s="16" t="inlineStr">
        <is>
          <t>PENDIENTE</t>
        </is>
      </c>
      <c r="F134" s="16" t="inlineStr">
        <is>
          <t>Set (Electrico) Suministro</t>
        </is>
      </c>
      <c r="G134" s="16" t="inlineStr">
        <is>
          <t>(Sin Subgrupo)</t>
        </is>
      </c>
      <c r="H134" s="16" t="inlineStr">
        <is>
          <t>LED EMERGENCIA R1 (SYLVANIA) - UND</t>
        </is>
      </c>
      <c r="I134" s="43" t="n">
        <v>3</v>
      </c>
      <c r="J134" s="44" t="n">
        <v>72284</v>
      </c>
      <c r="K134" s="44" t="n">
        <v>216852</v>
      </c>
      <c r="L134" s="16" t="inlineStr">
        <is>
          <t>IVA 19%</t>
        </is>
      </c>
      <c r="M134" s="44" t="n">
        <v>41201</v>
      </c>
      <c r="N134" s="44">
        <f>K134+M134</f>
        <v/>
      </c>
      <c r="O134" s="16" t="inlineStr">
        <is>
          <t>LAURA SOFIA SALAS ROSERO</t>
        </is>
      </c>
      <c r="P134" s="16" t="inlineStr">
        <is>
          <t>ELECTRICOS DEL VALLE SAS</t>
        </is>
      </c>
      <c r="Q134" s="16" t="inlineStr">
        <is>
          <t>PLANEADA</t>
        </is>
      </c>
      <c r="R134" s="16" t="inlineStr">
        <is>
          <t>MINI GRANJAS</t>
        </is>
      </c>
      <c r="S134" s="16" t="inlineStr"/>
      <c r="T134" s="16" t="inlineStr">
        <is>
          <t>Otros / sin clasificar</t>
        </is>
      </c>
    </row>
    <row r="135">
      <c r="A135" s="45" t="n">
        <v>46134.64243055556</v>
      </c>
      <c r="B135" s="18" t="n">
        <v>2731</v>
      </c>
      <c r="C135" s="18" t="n">
        <v>2039</v>
      </c>
      <c r="D135" s="18" t="inlineStr">
        <is>
          <t>GENERADA</t>
        </is>
      </c>
      <c r="E135" s="18" t="inlineStr">
        <is>
          <t>PENDIENTE</t>
        </is>
      </c>
      <c r="F135" s="18" t="inlineStr">
        <is>
          <t>Set (Electrico) Suministro</t>
        </is>
      </c>
      <c r="G135" s="18" t="inlineStr">
        <is>
          <t>(Sin Subgrupo)</t>
        </is>
      </c>
      <c r="H135" s="18" t="inlineStr">
        <is>
          <t>CANALETA METALICA  30X10 CM X 240 M TORNILLO S/D PREGALVANIZADA Y PINTADA - GALCO - UND</t>
        </is>
      </c>
      <c r="I135" s="46" t="n">
        <v>2</v>
      </c>
      <c r="J135" s="47" t="n">
        <v>217898.5</v>
      </c>
      <c r="K135" s="47" t="n">
        <v>435797</v>
      </c>
      <c r="L135" s="18" t="inlineStr">
        <is>
          <t>IVA 19%</t>
        </is>
      </c>
      <c r="M135" s="47" t="n">
        <v>82801</v>
      </c>
      <c r="N135" s="47">
        <f>K135+M135</f>
        <v/>
      </c>
      <c r="O135" s="18" t="inlineStr">
        <is>
          <t>LAURA SOFIA SALAS ROSERO</t>
        </is>
      </c>
      <c r="P135" s="18" t="inlineStr">
        <is>
          <t>ELECTRICOS DEL VALLE SAS</t>
        </is>
      </c>
      <c r="Q135" s="18" t="inlineStr">
        <is>
          <t>PLANEADA</t>
        </is>
      </c>
      <c r="R135" s="18" t="inlineStr">
        <is>
          <t>MINI GRANJAS</t>
        </is>
      </c>
      <c r="S135" s="18" t="inlineStr"/>
      <c r="T135" s="18" t="inlineStr">
        <is>
          <t>Canalización y tubería</t>
        </is>
      </c>
    </row>
    <row r="136">
      <c r="A136" s="42" t="n">
        <v>46134.64243055556</v>
      </c>
      <c r="B136" s="16" t="n">
        <v>2731</v>
      </c>
      <c r="C136" s="16" t="n">
        <v>2039</v>
      </c>
      <c r="D136" s="16" t="inlineStr">
        <is>
          <t>GENERADA</t>
        </is>
      </c>
      <c r="E136" s="16" t="inlineStr">
        <is>
          <t>PENDIENTE</t>
        </is>
      </c>
      <c r="F136" s="16" t="inlineStr">
        <is>
          <t>Set (Electrico) Suministro</t>
        </is>
      </c>
      <c r="G136" s="16" t="inlineStr">
        <is>
          <t>(Sin Subgrupo)</t>
        </is>
      </c>
      <c r="H136" s="16" t="inlineStr">
        <is>
          <t>TERMINAL PREMOLDEADO 15KV INTERIOR 3-3/0 REF 5623K QTII (PRO 2-4/0) (CEN 2-3/0)3M - UND</t>
        </is>
      </c>
      <c r="I136" s="43" t="n">
        <v>3</v>
      </c>
      <c r="J136" s="44" t="n">
        <v>410760.33</v>
      </c>
      <c r="K136" s="44" t="n">
        <v>1232280.99</v>
      </c>
      <c r="L136" s="16" t="inlineStr">
        <is>
          <t>IVA 19%</t>
        </is>
      </c>
      <c r="M136" s="44" t="n">
        <v>234133</v>
      </c>
      <c r="N136" s="44">
        <f>K136+M136</f>
        <v/>
      </c>
      <c r="O136" s="16" t="inlineStr">
        <is>
          <t>LAURA SOFIA SALAS ROSERO</t>
        </is>
      </c>
      <c r="P136" s="16" t="inlineStr">
        <is>
          <t>ELECTRICOS DEL VALLE SAS</t>
        </is>
      </c>
      <c r="Q136" s="16" t="inlineStr">
        <is>
          <t>PLANEADA</t>
        </is>
      </c>
      <c r="R136" s="16" t="inlineStr">
        <is>
          <t>MINI GRANJAS</t>
        </is>
      </c>
      <c r="S136" s="16" t="inlineStr"/>
      <c r="T136" s="16" t="inlineStr">
        <is>
          <t>Cableado y conductores</t>
        </is>
      </c>
    </row>
    <row r="137">
      <c r="A137" s="45" t="n">
        <v>46134.64243055556</v>
      </c>
      <c r="B137" s="18" t="n">
        <v>2731</v>
      </c>
      <c r="C137" s="18" t="n">
        <v>2039</v>
      </c>
      <c r="D137" s="18" t="inlineStr">
        <is>
          <t>GENERADA</t>
        </is>
      </c>
      <c r="E137" s="18" t="inlineStr">
        <is>
          <t>PENDIENTE</t>
        </is>
      </c>
      <c r="F137" s="18" t="inlineStr">
        <is>
          <t>Set (Electrico) Suministro</t>
        </is>
      </c>
      <c r="G137" s="18" t="inlineStr">
        <is>
          <t>(Sin Subgrupo)</t>
        </is>
      </c>
      <c r="H137" s="18" t="inlineStr">
        <is>
          <t>TERMINAL PREMOLDEADO 15KV EXTERIOR 2-4/0 REF 5633K QTII (PRO 2-4/0) (CEN 2-4/0) 3M - UND</t>
        </is>
      </c>
      <c r="I137" s="46" t="n">
        <v>1</v>
      </c>
      <c r="J137" s="47" t="n">
        <v>1102752</v>
      </c>
      <c r="K137" s="47" t="n">
        <v>1102752</v>
      </c>
      <c r="L137" s="18" t="inlineStr">
        <is>
          <t>IVA 19%</t>
        </is>
      </c>
      <c r="M137" s="47" t="n">
        <v>209522</v>
      </c>
      <c r="N137" s="47">
        <f>K137+M137</f>
        <v/>
      </c>
      <c r="O137" s="18" t="inlineStr">
        <is>
          <t>LAURA SOFIA SALAS ROSERO</t>
        </is>
      </c>
      <c r="P137" s="18" t="inlineStr">
        <is>
          <t>ELECTRICOS DEL VALLE SAS</t>
        </is>
      </c>
      <c r="Q137" s="18" t="inlineStr">
        <is>
          <t>PLANEADA</t>
        </is>
      </c>
      <c r="R137" s="18" t="inlineStr">
        <is>
          <t>MINI GRANJAS</t>
        </is>
      </c>
      <c r="S137" s="18" t="inlineStr"/>
      <c r="T137" s="18" t="inlineStr">
        <is>
          <t>Cableado y conductores</t>
        </is>
      </c>
    </row>
    <row r="138">
      <c r="A138" s="42" t="n">
        <v>46134.64243055556</v>
      </c>
      <c r="B138" s="16" t="n">
        <v>2731</v>
      </c>
      <c r="C138" s="16" t="n">
        <v>2039</v>
      </c>
      <c r="D138" s="16" t="inlineStr">
        <is>
          <t>GENERADA</t>
        </is>
      </c>
      <c r="E138" s="16" t="inlineStr">
        <is>
          <t>PENDIENTE</t>
        </is>
      </c>
      <c r="F138" s="16" t="inlineStr">
        <is>
          <t>Set (Electrico) Suministro</t>
        </is>
      </c>
      <c r="G138" s="16" t="inlineStr">
        <is>
          <t>(Sin Subgrupo)</t>
        </is>
      </c>
      <c r="H138" s="16" t="inlineStr">
        <is>
          <t>ANALIZADOR DE ENERGÍA COMPACTO JANITZA UMG 103-CBM - UND</t>
        </is>
      </c>
      <c r="I138" s="43" t="n">
        <v>1</v>
      </c>
      <c r="J138" s="44" t="n">
        <v>1976925</v>
      </c>
      <c r="K138" s="44" t="n">
        <v>1976925</v>
      </c>
      <c r="L138" s="16" t="inlineStr">
        <is>
          <t>IVA 19%</t>
        </is>
      </c>
      <c r="M138" s="44" t="n">
        <v>375615</v>
      </c>
      <c r="N138" s="44">
        <f>K138+M138</f>
        <v/>
      </c>
      <c r="O138" s="16" t="inlineStr">
        <is>
          <t>LAURA SOFIA SALAS ROSERO</t>
        </is>
      </c>
      <c r="P138" s="16" t="inlineStr">
        <is>
          <t>ELECTRICOS DEL VALLE SAS</t>
        </is>
      </c>
      <c r="Q138" s="16" t="inlineStr">
        <is>
          <t>PLANEADA</t>
        </is>
      </c>
      <c r="R138" s="16" t="inlineStr">
        <is>
          <t>MINI GRANJAS</t>
        </is>
      </c>
      <c r="S138" s="16" t="inlineStr"/>
      <c r="T138" s="16" t="inlineStr">
        <is>
          <t>Monitoreo y comunicaciones</t>
        </is>
      </c>
    </row>
    <row r="139">
      <c r="A139" s="45" t="n">
        <v>46134.63</v>
      </c>
      <c r="B139" s="18" t="n">
        <v>2723</v>
      </c>
      <c r="C139" s="18" t="n">
        <v>2027</v>
      </c>
      <c r="D139" s="18" t="inlineStr">
        <is>
          <t>CERRADA</t>
        </is>
      </c>
      <c r="E139" s="18" t="inlineStr">
        <is>
          <t>PAGADA</t>
        </is>
      </c>
      <c r="F139" s="18" t="inlineStr">
        <is>
          <t>Montaje Eléctrico</t>
        </is>
      </c>
      <c r="G139" s="18" t="inlineStr">
        <is>
          <t>(Sin Subgrupo)</t>
        </is>
      </c>
      <c r="H139" s="18" t="inlineStr">
        <is>
          <t>MODEM ROUTER - UND</t>
        </is>
      </c>
      <c r="I139" s="46" t="n">
        <v>1</v>
      </c>
      <c r="J139" s="47" t="n">
        <v>670000</v>
      </c>
      <c r="K139" s="47" t="n">
        <v>670000</v>
      </c>
      <c r="L139" s="18" t="inlineStr">
        <is>
          <t>IVA 19%</t>
        </is>
      </c>
      <c r="M139" s="47" t="n">
        <v>127300</v>
      </c>
      <c r="N139" s="47">
        <f>K139+M139</f>
        <v/>
      </c>
      <c r="O139" s="18" t="inlineStr">
        <is>
          <t>LAURA SOFIA SALAS ROSERO</t>
        </is>
      </c>
      <c r="P139" s="18" t="inlineStr">
        <is>
          <t>EMSI TECHNOLOGIES COLOMBIA S.A.S</t>
        </is>
      </c>
      <c r="Q139" s="18" t="inlineStr">
        <is>
          <t>PLANEADA</t>
        </is>
      </c>
      <c r="R139" s="18" t="inlineStr">
        <is>
          <t>MINI GRANJAS</t>
        </is>
      </c>
      <c r="S139" s="18" t="inlineStr">
        <is>
          <t>E-4662</t>
        </is>
      </c>
      <c r="T139" s="18" t="inlineStr">
        <is>
          <t>Monitoreo y comunicaciones</t>
        </is>
      </c>
    </row>
    <row r="140">
      <c r="A140" s="42" t="n">
        <v>46133.70143518518</v>
      </c>
      <c r="B140" s="16" t="n">
        <v>2709</v>
      </c>
      <c r="C140" s="16" t="n">
        <v>2014</v>
      </c>
      <c r="D140" s="16" t="inlineStr">
        <is>
          <t>CERRADA</t>
        </is>
      </c>
      <c r="E140" s="16" t="inlineStr">
        <is>
          <t>PAGADA</t>
        </is>
      </c>
      <c r="F140" s="16" t="inlineStr">
        <is>
          <t>Servicio</t>
        </is>
      </c>
      <c r="G140" s="16" t="inlineStr">
        <is>
          <t>Set (Electrico)Servicio</t>
        </is>
      </c>
      <c r="H140" s="16" t="inlineStr">
        <is>
          <t>CERTIFICACION DE FRONTERA COMERCIAL - UND</t>
        </is>
      </c>
      <c r="I140" s="43" t="n">
        <v>1</v>
      </c>
      <c r="J140" s="44" t="n">
        <v>5500000</v>
      </c>
      <c r="K140" s="44" t="n">
        <v>5500000</v>
      </c>
      <c r="L140" s="16" t="inlineStr">
        <is>
          <t>IVA 19%</t>
        </is>
      </c>
      <c r="M140" s="44" t="n">
        <v>1045000</v>
      </c>
      <c r="N140" s="44">
        <f>K140+M140</f>
        <v/>
      </c>
      <c r="O140" s="16" t="inlineStr">
        <is>
          <t>LAURA SOFIA SALAS ROSERO</t>
        </is>
      </c>
      <c r="P140" s="16" t="inlineStr">
        <is>
          <t>NEGAWATT S.A.S</t>
        </is>
      </c>
      <c r="Q140" s="16" t="inlineStr">
        <is>
          <t>PLANEADA</t>
        </is>
      </c>
      <c r="R140" s="16" t="inlineStr">
        <is>
          <t>MINI GRANJAS</t>
        </is>
      </c>
      <c r="S140" s="16" t="inlineStr">
        <is>
          <t>COT-394</t>
        </is>
      </c>
      <c r="T140" s="16" t="inlineStr">
        <is>
          <t>RETIE / Legalización / Medición</t>
        </is>
      </c>
    </row>
    <row r="141">
      <c r="A141" s="45" t="n">
        <v>46132.50052083333</v>
      </c>
      <c r="B141" s="18" t="n">
        <v>2667</v>
      </c>
      <c r="C141" s="18" t="n">
        <v>1968</v>
      </c>
      <c r="D141" s="18" t="inlineStr">
        <is>
          <t>CERRADA</t>
        </is>
      </c>
      <c r="E141" s="18" t="inlineStr">
        <is>
          <t>PAGADA</t>
        </is>
      </c>
      <c r="F141" s="18" t="inlineStr">
        <is>
          <t>Servicio</t>
        </is>
      </c>
      <c r="G141" s="18" t="inlineStr">
        <is>
          <t>Baños Portátiles</t>
        </is>
      </c>
      <c r="H141" s="18" t="inlineStr">
        <is>
          <t>ALQUILER DE LAVAMANOS PORTATIL - UND</t>
        </is>
      </c>
      <c r="I141" s="46" t="n">
        <v>1</v>
      </c>
      <c r="J141" s="47" t="n">
        <v>40000</v>
      </c>
      <c r="K141" s="47" t="n">
        <v>40000</v>
      </c>
      <c r="L141" s="18" t="inlineStr"/>
      <c r="M141" s="47" t="n">
        <v>0</v>
      </c>
      <c r="N141" s="47">
        <f>K141+M141</f>
        <v/>
      </c>
      <c r="O141" s="18" t="inlineStr">
        <is>
          <t>LAURA SOFIA SALAS ROSERO</t>
        </is>
      </c>
      <c r="P141" s="18" t="inlineStr">
        <is>
          <t>HOOVER ANTONIO GUACHAVES LASSO</t>
        </is>
      </c>
      <c r="Q141" s="18" t="inlineStr">
        <is>
          <t>PLANEADA</t>
        </is>
      </c>
      <c r="R141" s="18" t="inlineStr">
        <is>
          <t>MINI GRANJAS</t>
        </is>
      </c>
      <c r="S141" s="18" t="inlineStr">
        <is>
          <t>031</t>
        </is>
      </c>
      <c r="T141" s="18" t="inlineStr">
        <is>
          <t>Baños y sanitarios portátiles</t>
        </is>
      </c>
    </row>
    <row r="142">
      <c r="A142" s="42" t="n">
        <v>46132.50052083333</v>
      </c>
      <c r="B142" s="16" t="n">
        <v>2667</v>
      </c>
      <c r="C142" s="16" t="n">
        <v>1968</v>
      </c>
      <c r="D142" s="16" t="inlineStr">
        <is>
          <t>CERRADA</t>
        </is>
      </c>
      <c r="E142" s="16" t="inlineStr">
        <is>
          <t>PAGADA</t>
        </is>
      </c>
      <c r="F142" s="16" t="inlineStr">
        <is>
          <t>Servicio</t>
        </is>
      </c>
      <c r="G142" s="16" t="inlineStr">
        <is>
          <t>Baños Portátiles</t>
        </is>
      </c>
      <c r="H142" s="16" t="inlineStr">
        <is>
          <t>ALQUILER DE BAÑO PORTATIL - UND</t>
        </is>
      </c>
      <c r="I142" s="43" t="n">
        <v>1</v>
      </c>
      <c r="J142" s="44" t="n">
        <v>1681600</v>
      </c>
      <c r="K142" s="44" t="n">
        <v>1681600</v>
      </c>
      <c r="L142" s="16" t="inlineStr"/>
      <c r="M142" s="44" t="n">
        <v>0</v>
      </c>
      <c r="N142" s="44">
        <f>K142+M142</f>
        <v/>
      </c>
      <c r="O142" s="16" t="inlineStr">
        <is>
          <t>LAURA SOFIA SALAS ROSERO</t>
        </is>
      </c>
      <c r="P142" s="16" t="inlineStr">
        <is>
          <t>HOOVER ANTONIO GUACHAVES LASSO</t>
        </is>
      </c>
      <c r="Q142" s="16" t="inlineStr">
        <is>
          <t>PLANEADA</t>
        </is>
      </c>
      <c r="R142" s="16" t="inlineStr">
        <is>
          <t>MINI GRANJAS</t>
        </is>
      </c>
      <c r="S142" s="16" t="inlineStr">
        <is>
          <t>031</t>
        </is>
      </c>
      <c r="T142" s="16" t="inlineStr">
        <is>
          <t>Baños y sanitarios portátiles</t>
        </is>
      </c>
    </row>
    <row r="143">
      <c r="A143" s="45" t="n">
        <v>46132.49847222222</v>
      </c>
      <c r="B143" s="18" t="n">
        <v>2665</v>
      </c>
      <c r="C143" s="18" t="n">
        <v>1965</v>
      </c>
      <c r="D143" s="18" t="inlineStr">
        <is>
          <t>CERRADA</t>
        </is>
      </c>
      <c r="E143" s="18" t="inlineStr">
        <is>
          <t>PAGADA</t>
        </is>
      </c>
      <c r="F143" s="18" t="inlineStr">
        <is>
          <t>Set (Electrico) Suministro</t>
        </is>
      </c>
      <c r="G143" s="18" t="inlineStr">
        <is>
          <t>Set (Electrico)Servicio</t>
        </is>
      </c>
      <c r="H143" s="18" t="inlineStr">
        <is>
          <t>MEDIDOR HEXING HXF300, ENERGÍA ACTIVA (CL0.5S) Y REACTIVA (CL2), 1(10)A, 57.7/100V - 277/480V, 60HZ, BIDIRECCIONAL, 1PUERTORS-232, 1PUERTORS-485 - UND</t>
        </is>
      </c>
      <c r="I143" s="46" t="n">
        <v>2</v>
      </c>
      <c r="J143" s="47" t="n">
        <v>1610000</v>
      </c>
      <c r="K143" s="47" t="n">
        <v>3220000</v>
      </c>
      <c r="L143" s="18" t="inlineStr">
        <is>
          <t>IVA 19%</t>
        </is>
      </c>
      <c r="M143" s="47" t="n">
        <v>611800</v>
      </c>
      <c r="N143" s="47">
        <f>K143+M143</f>
        <v/>
      </c>
      <c r="O143" s="18" t="inlineStr">
        <is>
          <t>LAURA SOFIA SALAS ROSERO</t>
        </is>
      </c>
      <c r="P143" s="18" t="inlineStr">
        <is>
          <t>INPEL S.A.</t>
        </is>
      </c>
      <c r="Q143" s="18" t="inlineStr">
        <is>
          <t>PLANEADA</t>
        </is>
      </c>
      <c r="R143" s="18" t="inlineStr">
        <is>
          <t>MINI GRANJAS</t>
        </is>
      </c>
      <c r="S143" s="18" t="inlineStr">
        <is>
          <t>COT-540</t>
        </is>
      </c>
      <c r="T143" s="18" t="inlineStr">
        <is>
          <t>Medidores</t>
        </is>
      </c>
    </row>
    <row r="144">
      <c r="A144" s="42" t="n">
        <v>46128.65458333334</v>
      </c>
      <c r="B144" s="16" t="n">
        <v>2634</v>
      </c>
      <c r="C144" s="16" t="n">
        <v>1949</v>
      </c>
      <c r="D144" s="16" t="inlineStr">
        <is>
          <t>CERRADA</t>
        </is>
      </c>
      <c r="E144" s="16" t="inlineStr">
        <is>
          <t>CAUSADA</t>
        </is>
      </c>
      <c r="F144" s="16" t="inlineStr">
        <is>
          <t>Servicio</t>
        </is>
      </c>
      <c r="G144" s="16" t="inlineStr">
        <is>
          <t>Logística Viáticos</t>
        </is>
      </c>
      <c r="H144" s="16" t="inlineStr">
        <is>
          <t>SERVICIO DE RESTAURANTE - UND</t>
        </is>
      </c>
      <c r="I144" s="43" t="n">
        <v>57</v>
      </c>
      <c r="J144" s="44" t="n">
        <v>10362.69</v>
      </c>
      <c r="K144" s="44" t="n">
        <v>590673.33</v>
      </c>
      <c r="L144" s="16" t="inlineStr"/>
      <c r="M144" s="44" t="n">
        <v>0</v>
      </c>
      <c r="N144" s="44">
        <f>K144+M144</f>
        <v/>
      </c>
      <c r="O144" s="16" t="inlineStr">
        <is>
          <t>LAURA SOFIA SALAS ROSERO</t>
        </is>
      </c>
      <c r="P144" s="16" t="inlineStr">
        <is>
          <t>MAYERLINE TOBAR GOMEZ</t>
        </is>
      </c>
      <c r="Q144" s="16" t="inlineStr">
        <is>
          <t>PLANEADA</t>
        </is>
      </c>
      <c r="R144" s="16" t="inlineStr">
        <is>
          <t>MINI GRANJAS</t>
        </is>
      </c>
      <c r="S144" s="16" t="inlineStr">
        <is>
          <t>1645</t>
        </is>
      </c>
      <c r="T144" s="16" t="inlineStr">
        <is>
          <t>Viáticos - Alimentación</t>
        </is>
      </c>
    </row>
    <row r="145">
      <c r="A145" s="45" t="n">
        <v>46128.65458333334</v>
      </c>
      <c r="B145" s="18" t="n">
        <v>2634</v>
      </c>
      <c r="C145" s="18" t="n">
        <v>1949</v>
      </c>
      <c r="D145" s="18" t="inlineStr">
        <is>
          <t>CERRADA</t>
        </is>
      </c>
      <c r="E145" s="18" t="inlineStr">
        <is>
          <t>CAUSADA</t>
        </is>
      </c>
      <c r="F145" s="18" t="inlineStr">
        <is>
          <t>Servicio</t>
        </is>
      </c>
      <c r="G145" s="18" t="inlineStr">
        <is>
          <t>Logística Viáticos</t>
        </is>
      </c>
      <c r="H145" s="18" t="inlineStr">
        <is>
          <t>SERVICIO DE RESTAURANTE - UND</t>
        </is>
      </c>
      <c r="I145" s="46" t="n">
        <v>95</v>
      </c>
      <c r="J145" s="47" t="n">
        <v>13471.51</v>
      </c>
      <c r="K145" s="47" t="n">
        <v>1279793.45</v>
      </c>
      <c r="L145" s="18" t="inlineStr"/>
      <c r="M145" s="47" t="n">
        <v>0</v>
      </c>
      <c r="N145" s="47">
        <f>K145+M145</f>
        <v/>
      </c>
      <c r="O145" s="18" t="inlineStr">
        <is>
          <t>LAURA SOFIA SALAS ROSERO</t>
        </is>
      </c>
      <c r="P145" s="18" t="inlineStr">
        <is>
          <t>MAYERLINE TOBAR GOMEZ</t>
        </is>
      </c>
      <c r="Q145" s="18" t="inlineStr">
        <is>
          <t>PLANEADA</t>
        </is>
      </c>
      <c r="R145" s="18" t="inlineStr">
        <is>
          <t>MINI GRANJAS</t>
        </is>
      </c>
      <c r="S145" s="18" t="inlineStr">
        <is>
          <t>1645</t>
        </is>
      </c>
      <c r="T145" s="18" t="inlineStr">
        <is>
          <t>Viáticos - Alimentación</t>
        </is>
      </c>
    </row>
    <row r="146">
      <c r="A146" s="42" t="n">
        <v>46125.61861111111</v>
      </c>
      <c r="B146" s="16" t="n">
        <v>2596</v>
      </c>
      <c r="C146" s="16" t="n">
        <v>1932</v>
      </c>
      <c r="D146" s="16" t="inlineStr">
        <is>
          <t>CERRADA</t>
        </is>
      </c>
      <c r="E146" s="16" t="inlineStr">
        <is>
          <t>PAGADA</t>
        </is>
      </c>
      <c r="F146" s="16" t="inlineStr">
        <is>
          <t>Servicio</t>
        </is>
      </c>
      <c r="G146" s="16" t="inlineStr">
        <is>
          <t>Set (Electrico)Servicio</t>
        </is>
      </c>
      <c r="H146" s="16" t="inlineStr">
        <is>
          <t>CERTIFICADO RETIE - UND</t>
        </is>
      </c>
      <c r="I146" s="43" t="n">
        <v>1</v>
      </c>
      <c r="J146" s="44" t="n">
        <v>7500000</v>
      </c>
      <c r="K146" s="44" t="n">
        <v>7500000</v>
      </c>
      <c r="L146" s="16" t="inlineStr">
        <is>
          <t>IVA 19%</t>
        </is>
      </c>
      <c r="M146" s="44" t="n">
        <v>1425000</v>
      </c>
      <c r="N146" s="44">
        <f>K146+M146</f>
        <v/>
      </c>
      <c r="O146" s="16" t="inlineStr">
        <is>
          <t>LAURA SOFIA SALAS ROSERO</t>
        </is>
      </c>
      <c r="P146" s="16" t="inlineStr">
        <is>
          <t>ODIR CERTIFICACIONES SAS</t>
        </is>
      </c>
      <c r="Q146" s="16" t="inlineStr">
        <is>
          <t>EMERGENCIA</t>
        </is>
      </c>
      <c r="R146" s="16" t="inlineStr">
        <is>
          <t>MINI GRANJAS</t>
        </is>
      </c>
      <c r="S146" s="16" t="inlineStr">
        <is>
          <t>ODIR-014790</t>
        </is>
      </c>
      <c r="T146" s="16" t="inlineStr">
        <is>
          <t>RETIE / Legalización / Medición</t>
        </is>
      </c>
    </row>
    <row r="147">
      <c r="A147" s="45" t="n">
        <v>46125.43002314815</v>
      </c>
      <c r="B147" s="18" t="n">
        <v>2581</v>
      </c>
      <c r="C147" s="18" t="n">
        <v>1919</v>
      </c>
      <c r="D147" s="18" t="inlineStr">
        <is>
          <t>CERRADA</t>
        </is>
      </c>
      <c r="E147" s="18" t="inlineStr">
        <is>
          <t>PAGADA</t>
        </is>
      </c>
      <c r="F147" s="18" t="inlineStr">
        <is>
          <t>Servicio</t>
        </is>
      </c>
      <c r="G147" s="18" t="inlineStr">
        <is>
          <t>Set (Electrico)Servicio</t>
        </is>
      </c>
      <c r="H147" s="18" t="inlineStr">
        <is>
          <t>DESCARGUE E INSTALACION DE CELDAS PARA TRANSFORMADORES MAS SERVICIO DE GRUA - UND</t>
        </is>
      </c>
      <c r="I147" s="46" t="n">
        <v>1</v>
      </c>
      <c r="J147" s="47" t="n">
        <v>2400000</v>
      </c>
      <c r="K147" s="47" t="n">
        <v>2400000</v>
      </c>
      <c r="L147" s="18" t="inlineStr"/>
      <c r="M147" s="47" t="n">
        <v>0</v>
      </c>
      <c r="N147" s="47">
        <f>K147+M147</f>
        <v/>
      </c>
      <c r="O147" s="18" t="inlineStr">
        <is>
          <t>LAURA SOFIA SALAS ROSERO</t>
        </is>
      </c>
      <c r="P147" s="18" t="inlineStr">
        <is>
          <t>JOHN JAIRO CHAPAL ESTACIO</t>
        </is>
      </c>
      <c r="Q147" s="18" t="inlineStr">
        <is>
          <t>PLANEADA</t>
        </is>
      </c>
      <c r="R147" s="18" t="inlineStr">
        <is>
          <t>MINI GRANJAS</t>
        </is>
      </c>
      <c r="S147" s="18" t="inlineStr">
        <is>
          <t>FE-816 -</t>
        </is>
      </c>
      <c r="T147" s="18" t="inlineStr">
        <is>
          <t>Fletes y transporte de carga</t>
        </is>
      </c>
    </row>
    <row r="148">
      <c r="A148" s="42" t="n">
        <v>46120.41306712963</v>
      </c>
      <c r="B148" s="16" t="n">
        <v>2533</v>
      </c>
      <c r="C148" s="16" t="n">
        <v>1878</v>
      </c>
      <c r="D148" s="16" t="inlineStr">
        <is>
          <t>CERRADA</t>
        </is>
      </c>
      <c r="E148" s="16" t="inlineStr">
        <is>
          <t>PAGADA</t>
        </is>
      </c>
      <c r="F148" s="16" t="inlineStr">
        <is>
          <t>Set (Civil) Suministro</t>
        </is>
      </c>
      <c r="G148" s="16" t="inlineStr">
        <is>
          <t>(Sin Subgrupo)</t>
        </is>
      </c>
      <c r="H148" s="16" t="inlineStr">
        <is>
          <t>VINILO BLANCO TIPO 1 PINTULAND (SUPERLAVABLE PARA INTERIORES Y EXTERIORES) X CUÑETE - UND</t>
        </is>
      </c>
      <c r="I148" s="43" t="n">
        <v>2</v>
      </c>
      <c r="J148" s="44" t="n">
        <v>260504.2</v>
      </c>
      <c r="K148" s="44" t="n">
        <v>521008.4</v>
      </c>
      <c r="L148" s="16" t="inlineStr">
        <is>
          <t>IVA 19%</t>
        </is>
      </c>
      <c r="M148" s="44" t="n">
        <v>98992</v>
      </c>
      <c r="N148" s="44">
        <f>K148+M148</f>
        <v/>
      </c>
      <c r="O148" s="16" t="inlineStr">
        <is>
          <t>LAURA SOFIA SALAS ROSERO</t>
        </is>
      </c>
      <c r="P148" s="16" t="inlineStr">
        <is>
          <t>ALEXANDER ANGULO BURBANO</t>
        </is>
      </c>
      <c r="Q148" s="16" t="inlineStr">
        <is>
          <t>PLANEADA</t>
        </is>
      </c>
      <c r="R148" s="16" t="inlineStr">
        <is>
          <t>MINI GRANJAS</t>
        </is>
      </c>
      <c r="S148" s="16" t="inlineStr">
        <is>
          <t>cot 143</t>
        </is>
      </c>
      <c r="T148" s="16" t="inlineStr">
        <is>
          <t>Impermeabilización y acabados</t>
        </is>
      </c>
    </row>
    <row r="149">
      <c r="A149" s="45" t="n">
        <v>46118.36009259259</v>
      </c>
      <c r="B149" s="18" t="n">
        <v>2488</v>
      </c>
      <c r="C149" s="18" t="n">
        <v>1865</v>
      </c>
      <c r="D149" s="18" t="inlineStr">
        <is>
          <t>CERRADA</t>
        </is>
      </c>
      <c r="E149" s="18" t="inlineStr">
        <is>
          <t>PAGADA</t>
        </is>
      </c>
      <c r="F149" s="18" t="inlineStr">
        <is>
          <t>Servicio</t>
        </is>
      </c>
      <c r="G149" s="18" t="inlineStr">
        <is>
          <t>Preparativos Previos Inicio De Obras</t>
        </is>
      </c>
      <c r="H149" s="18" t="inlineStr">
        <is>
          <t>RECEBO - M3</t>
        </is>
      </c>
      <c r="I149" s="46" t="n">
        <v>30</v>
      </c>
      <c r="J149" s="47" t="n">
        <v>30000</v>
      </c>
      <c r="K149" s="47" t="n">
        <v>900000</v>
      </c>
      <c r="L149" s="18" t="inlineStr"/>
      <c r="M149" s="47" t="n">
        <v>0</v>
      </c>
      <c r="N149" s="47">
        <f>K149+M149</f>
        <v/>
      </c>
      <c r="O149" s="18" t="inlineStr">
        <is>
          <t>JULIO CESAR DEAVILA MARTINEZ</t>
        </is>
      </c>
      <c r="P149" s="18" t="inlineStr">
        <is>
          <t>CAMPO HELMER PORTILLO PORTILLA</t>
        </is>
      </c>
      <c r="Q149" s="18" t="inlineStr">
        <is>
          <t>PLANEADA</t>
        </is>
      </c>
      <c r="R149" s="18" t="inlineStr">
        <is>
          <t>MINI GRANJAS</t>
        </is>
      </c>
      <c r="S149" s="18" t="inlineStr">
        <is>
          <t>0237</t>
        </is>
      </c>
      <c r="T149" s="18" t="inlineStr">
        <is>
          <t>Obra civil (concreto, agregados)</t>
        </is>
      </c>
    </row>
    <row r="150">
      <c r="A150" s="42" t="n">
        <v>46118.36009259259</v>
      </c>
      <c r="B150" s="16" t="n">
        <v>2488</v>
      </c>
      <c r="C150" s="16" t="n">
        <v>1865</v>
      </c>
      <c r="D150" s="16" t="inlineStr">
        <is>
          <t>CERRADA</t>
        </is>
      </c>
      <c r="E150" s="16" t="inlineStr">
        <is>
          <t>PAGADA</t>
        </is>
      </c>
      <c r="F150" s="16" t="inlineStr">
        <is>
          <t>Servicio</t>
        </is>
      </c>
      <c r="G150" s="16" t="inlineStr">
        <is>
          <t>Preparativos Previos Inicio De Obras</t>
        </is>
      </c>
      <c r="H150" s="16" t="inlineStr">
        <is>
          <t>CRUDO DE RÍO X M3 - M3</t>
        </is>
      </c>
      <c r="I150" s="43" t="n">
        <v>210</v>
      </c>
      <c r="J150" s="44" t="n">
        <v>46000</v>
      </c>
      <c r="K150" s="44" t="n">
        <v>9660000</v>
      </c>
      <c r="L150" s="16" t="inlineStr"/>
      <c r="M150" s="44" t="n">
        <v>0</v>
      </c>
      <c r="N150" s="44">
        <f>K150+M150</f>
        <v/>
      </c>
      <c r="O150" s="16" t="inlineStr">
        <is>
          <t>JULIO CESAR DEAVILA MARTINEZ</t>
        </is>
      </c>
      <c r="P150" s="16" t="inlineStr">
        <is>
          <t>CAMPO HELMER PORTILLO PORTILLA</t>
        </is>
      </c>
      <c r="Q150" s="16" t="inlineStr">
        <is>
          <t>PLANEADA</t>
        </is>
      </c>
      <c r="R150" s="16" t="inlineStr">
        <is>
          <t>MINI GRANJAS</t>
        </is>
      </c>
      <c r="S150" s="16" t="inlineStr">
        <is>
          <t>0237</t>
        </is>
      </c>
      <c r="T150" s="16" t="inlineStr">
        <is>
          <t>Obra civil (concreto, agregados)</t>
        </is>
      </c>
    </row>
    <row r="151">
      <c r="A151" s="45" t="n">
        <v>46112.42850694444</v>
      </c>
      <c r="B151" s="18" t="n">
        <v>2457</v>
      </c>
      <c r="C151" s="18" t="n">
        <v>1849</v>
      </c>
      <c r="D151" s="18" t="inlineStr">
        <is>
          <t>CERRADA</t>
        </is>
      </c>
      <c r="E151" s="18" t="inlineStr">
        <is>
          <t>CAUSADA</t>
        </is>
      </c>
      <c r="F151" s="18" t="inlineStr">
        <is>
          <t>Servicio</t>
        </is>
      </c>
      <c r="G151" s="18" t="inlineStr">
        <is>
          <t>Logística Viáticos</t>
        </is>
      </c>
      <c r="H151" s="18" t="inlineStr">
        <is>
          <t>SERVICIO DE RESTAURANTE - UND</t>
        </is>
      </c>
      <c r="I151" s="46" t="n">
        <v>63</v>
      </c>
      <c r="J151" s="47" t="n">
        <v>10362.69</v>
      </c>
      <c r="K151" s="47" t="n">
        <v>652849.47</v>
      </c>
      <c r="L151" s="18" t="inlineStr"/>
      <c r="M151" s="47" t="n">
        <v>0</v>
      </c>
      <c r="N151" s="47">
        <f>K151+M151</f>
        <v/>
      </c>
      <c r="O151" s="18" t="inlineStr">
        <is>
          <t>LAURA SOFIA SALAS ROSERO</t>
        </is>
      </c>
      <c r="P151" s="18" t="inlineStr">
        <is>
          <t>MAYERLINE TOBAR GOMEZ</t>
        </is>
      </c>
      <c r="Q151" s="18" t="inlineStr">
        <is>
          <t>PLANEADA</t>
        </is>
      </c>
      <c r="R151" s="18" t="inlineStr">
        <is>
          <t>MINI GRANJAS</t>
        </is>
      </c>
      <c r="S151" s="18" t="inlineStr">
        <is>
          <t>1600</t>
        </is>
      </c>
      <c r="T151" s="18" t="inlineStr">
        <is>
          <t>Viáticos - Alimentación</t>
        </is>
      </c>
    </row>
    <row r="152">
      <c r="A152" s="42" t="n">
        <v>46112.42850694444</v>
      </c>
      <c r="B152" s="16" t="n">
        <v>2457</v>
      </c>
      <c r="C152" s="16" t="n">
        <v>1849</v>
      </c>
      <c r="D152" s="16" t="inlineStr">
        <is>
          <t>CERRADA</t>
        </is>
      </c>
      <c r="E152" s="16" t="inlineStr">
        <is>
          <t>CAUSADA</t>
        </is>
      </c>
      <c r="F152" s="16" t="inlineStr">
        <is>
          <t>Servicio</t>
        </is>
      </c>
      <c r="G152" s="16" t="inlineStr">
        <is>
          <t>Logística Viáticos</t>
        </is>
      </c>
      <c r="H152" s="16" t="inlineStr">
        <is>
          <t>SERVICIO DE RESTAURANTE - UND</t>
        </is>
      </c>
      <c r="I152" s="43" t="n">
        <v>58</v>
      </c>
      <c r="J152" s="44" t="n">
        <v>13471.5</v>
      </c>
      <c r="K152" s="44" t="n">
        <v>781347</v>
      </c>
      <c r="L152" s="16" t="inlineStr"/>
      <c r="M152" s="44" t="n">
        <v>0</v>
      </c>
      <c r="N152" s="44">
        <f>K152+M152</f>
        <v/>
      </c>
      <c r="O152" s="16" t="inlineStr">
        <is>
          <t>LAURA SOFIA SALAS ROSERO</t>
        </is>
      </c>
      <c r="P152" s="16" t="inlineStr">
        <is>
          <t>MAYERLINE TOBAR GOMEZ</t>
        </is>
      </c>
      <c r="Q152" s="16" t="inlineStr">
        <is>
          <t>PLANEADA</t>
        </is>
      </c>
      <c r="R152" s="16" t="inlineStr">
        <is>
          <t>MINI GRANJAS</t>
        </is>
      </c>
      <c r="S152" s="16" t="inlineStr">
        <is>
          <t>1600</t>
        </is>
      </c>
      <c r="T152" s="16" t="inlineStr">
        <is>
          <t>Viáticos - Alimentación</t>
        </is>
      </c>
    </row>
    <row r="153">
      <c r="A153" s="45" t="n">
        <v>46112.42850694444</v>
      </c>
      <c r="B153" s="18" t="n">
        <v>2457</v>
      </c>
      <c r="C153" s="18" t="n">
        <v>1849</v>
      </c>
      <c r="D153" s="18" t="inlineStr">
        <is>
          <t>CERRADA</t>
        </is>
      </c>
      <c r="E153" s="18" t="inlineStr">
        <is>
          <t>CAUSADA</t>
        </is>
      </c>
      <c r="F153" s="18" t="inlineStr">
        <is>
          <t>Servicio</t>
        </is>
      </c>
      <c r="G153" s="18" t="inlineStr">
        <is>
          <t>Logística Viáticos</t>
        </is>
      </c>
      <c r="H153" s="18" t="inlineStr">
        <is>
          <t>SERVICIO DE RESTAURANTE - UND</t>
        </is>
      </c>
      <c r="I153" s="46" t="n">
        <v>64</v>
      </c>
      <c r="J153" s="47" t="n">
        <v>13471.51</v>
      </c>
      <c r="K153" s="47" t="n">
        <v>862176.64</v>
      </c>
      <c r="L153" s="18" t="inlineStr"/>
      <c r="M153" s="47" t="n">
        <v>0</v>
      </c>
      <c r="N153" s="47">
        <f>K153+M153</f>
        <v/>
      </c>
      <c r="O153" s="18" t="inlineStr">
        <is>
          <t>LAURA SOFIA SALAS ROSERO</t>
        </is>
      </c>
      <c r="P153" s="18" t="inlineStr">
        <is>
          <t>MAYERLINE TOBAR GOMEZ</t>
        </is>
      </c>
      <c r="Q153" s="18" t="inlineStr">
        <is>
          <t>PLANEADA</t>
        </is>
      </c>
      <c r="R153" s="18" t="inlineStr">
        <is>
          <t>MINI GRANJAS</t>
        </is>
      </c>
      <c r="S153" s="18" t="inlineStr">
        <is>
          <t>1600</t>
        </is>
      </c>
      <c r="T153" s="18" t="inlineStr">
        <is>
          <t>Viáticos - Alimentación</t>
        </is>
      </c>
    </row>
    <row r="154">
      <c r="A154" s="42" t="n">
        <v>46112.42746527777</v>
      </c>
      <c r="B154" s="16" t="n">
        <v>2456</v>
      </c>
      <c r="C154" s="16" t="n">
        <v>1851</v>
      </c>
      <c r="D154" s="16" t="inlineStr">
        <is>
          <t>CERRADA</t>
        </is>
      </c>
      <c r="E154" s="16" t="inlineStr">
        <is>
          <t>PAGADA</t>
        </is>
      </c>
      <c r="F154" s="16" t="inlineStr">
        <is>
          <t>Servicio</t>
        </is>
      </c>
      <c r="G154" s="16" t="inlineStr">
        <is>
          <t>Logística Viáticos</t>
        </is>
      </c>
      <c r="H154" s="16" t="inlineStr">
        <is>
          <t>SERVICIO DE HOTEL - UND</t>
        </is>
      </c>
      <c r="I154" s="43" t="n">
        <v>2</v>
      </c>
      <c r="J154" s="44" t="n">
        <v>621761.66</v>
      </c>
      <c r="K154" s="44" t="n">
        <v>1243523.32</v>
      </c>
      <c r="L154" s="16" t="inlineStr"/>
      <c r="M154" s="44" t="n">
        <v>0</v>
      </c>
      <c r="N154" s="44">
        <f>K154+M154</f>
        <v/>
      </c>
      <c r="O154" s="16" t="inlineStr">
        <is>
          <t>LAURA SOFIA SALAS ROSERO</t>
        </is>
      </c>
      <c r="P154" s="16" t="inlineStr">
        <is>
          <t>MAYERLINE TOBAR GOMEZ</t>
        </is>
      </c>
      <c r="Q154" s="16" t="inlineStr">
        <is>
          <t>PLANEADA</t>
        </is>
      </c>
      <c r="R154" s="16" t="inlineStr">
        <is>
          <t>MINI GRANJAS</t>
        </is>
      </c>
      <c r="S154" s="16" t="inlineStr">
        <is>
          <t>FE 1604</t>
        </is>
      </c>
      <c r="T154" s="16" t="inlineStr">
        <is>
          <t>Viáticos - Hospedaje</t>
        </is>
      </c>
    </row>
    <row r="155">
      <c r="A155" s="45" t="n">
        <v>46106.66416666667</v>
      </c>
      <c r="B155" s="18" t="n">
        <v>2407</v>
      </c>
      <c r="C155" s="18" t="n">
        <v>1804</v>
      </c>
      <c r="D155" s="18" t="inlineStr">
        <is>
          <t>CERRADA</t>
        </is>
      </c>
      <c r="E155" s="18" t="inlineStr">
        <is>
          <t>PAGADA</t>
        </is>
      </c>
      <c r="F155" s="18" t="inlineStr">
        <is>
          <t>Servicio</t>
        </is>
      </c>
      <c r="G155" s="18" t="inlineStr">
        <is>
          <t>Logística Viáticos</t>
        </is>
      </c>
      <c r="H155" s="18" t="inlineStr">
        <is>
          <t>SERVICIO DE RESTAURANTE - UND</t>
        </is>
      </c>
      <c r="I155" s="46" t="n">
        <v>74</v>
      </c>
      <c r="J155" s="47" t="n">
        <v>10362.7</v>
      </c>
      <c r="K155" s="47" t="n">
        <v>766839.8</v>
      </c>
      <c r="L155" s="18" t="inlineStr"/>
      <c r="M155" s="47" t="n">
        <v>0</v>
      </c>
      <c r="N155" s="47">
        <f>K155+M155</f>
        <v/>
      </c>
      <c r="O155" s="18" t="inlineStr">
        <is>
          <t>LAURA SOFIA SALAS ROSERO</t>
        </is>
      </c>
      <c r="P155" s="18" t="inlineStr">
        <is>
          <t>MAYERLINE TOBAR GOMEZ</t>
        </is>
      </c>
      <c r="Q155" s="18" t="inlineStr">
        <is>
          <t>PLANEADA</t>
        </is>
      </c>
      <c r="R155" s="18" t="inlineStr">
        <is>
          <t>MINI GRANJAS</t>
        </is>
      </c>
      <c r="S155" s="18" t="inlineStr">
        <is>
          <t>FE 1577</t>
        </is>
      </c>
      <c r="T155" s="18" t="inlineStr">
        <is>
          <t>Viáticos - Alimentación</t>
        </is>
      </c>
    </row>
    <row r="156">
      <c r="A156" s="42" t="n">
        <v>46106.66416666667</v>
      </c>
      <c r="B156" s="16" t="n">
        <v>2407</v>
      </c>
      <c r="C156" s="16" t="n">
        <v>1804</v>
      </c>
      <c r="D156" s="16" t="inlineStr">
        <is>
          <t>CERRADA</t>
        </is>
      </c>
      <c r="E156" s="16" t="inlineStr">
        <is>
          <t>PAGADA</t>
        </is>
      </c>
      <c r="F156" s="16" t="inlineStr">
        <is>
          <t>Servicio</t>
        </is>
      </c>
      <c r="G156" s="16" t="inlineStr">
        <is>
          <t>Logística Viáticos</t>
        </is>
      </c>
      <c r="H156" s="16" t="inlineStr">
        <is>
          <t>SERVICIO DE RESTAURANTE - UND</t>
        </is>
      </c>
      <c r="I156" s="43" t="n">
        <v>65</v>
      </c>
      <c r="J156" s="44" t="n">
        <v>12435.23</v>
      </c>
      <c r="K156" s="44" t="n">
        <v>808289.95</v>
      </c>
      <c r="L156" s="16" t="inlineStr"/>
      <c r="M156" s="44" t="n">
        <v>0</v>
      </c>
      <c r="N156" s="44">
        <f>K156+M156</f>
        <v/>
      </c>
      <c r="O156" s="16" t="inlineStr">
        <is>
          <t>LAURA SOFIA SALAS ROSERO</t>
        </is>
      </c>
      <c r="P156" s="16" t="inlineStr">
        <is>
          <t>MAYERLINE TOBAR GOMEZ</t>
        </is>
      </c>
      <c r="Q156" s="16" t="inlineStr">
        <is>
          <t>PLANEADA</t>
        </is>
      </c>
      <c r="R156" s="16" t="inlineStr">
        <is>
          <t>MINI GRANJAS</t>
        </is>
      </c>
      <c r="S156" s="16" t="inlineStr">
        <is>
          <t>FE 1577</t>
        </is>
      </c>
      <c r="T156" s="16" t="inlineStr">
        <is>
          <t>Viáticos - Alimentación</t>
        </is>
      </c>
    </row>
    <row r="157">
      <c r="A157" s="45" t="n">
        <v>46106.66416666667</v>
      </c>
      <c r="B157" s="18" t="n">
        <v>2407</v>
      </c>
      <c r="C157" s="18" t="n">
        <v>1804</v>
      </c>
      <c r="D157" s="18" t="inlineStr">
        <is>
          <t>CERRADA</t>
        </is>
      </c>
      <c r="E157" s="18" t="inlineStr">
        <is>
          <t>PAGADA</t>
        </is>
      </c>
      <c r="F157" s="18" t="inlineStr">
        <is>
          <t>Servicio</t>
        </is>
      </c>
      <c r="G157" s="18" t="inlineStr">
        <is>
          <t>Logística Viáticos</t>
        </is>
      </c>
      <c r="H157" s="18" t="inlineStr">
        <is>
          <t>SERVICIO DE RESTAURANTE - UND</t>
        </is>
      </c>
      <c r="I157" s="46" t="n">
        <v>68</v>
      </c>
      <c r="J157" s="47" t="n">
        <v>12435.23</v>
      </c>
      <c r="K157" s="47" t="n">
        <v>845595.64</v>
      </c>
      <c r="L157" s="18" t="inlineStr"/>
      <c r="M157" s="47" t="n">
        <v>0</v>
      </c>
      <c r="N157" s="47">
        <f>K157+M157</f>
        <v/>
      </c>
      <c r="O157" s="18" t="inlineStr">
        <is>
          <t>LAURA SOFIA SALAS ROSERO</t>
        </is>
      </c>
      <c r="P157" s="18" t="inlineStr">
        <is>
          <t>MAYERLINE TOBAR GOMEZ</t>
        </is>
      </c>
      <c r="Q157" s="18" t="inlineStr">
        <is>
          <t>PLANEADA</t>
        </is>
      </c>
      <c r="R157" s="18" t="inlineStr">
        <is>
          <t>MINI GRANJAS</t>
        </is>
      </c>
      <c r="S157" s="18" t="inlineStr">
        <is>
          <t>FE 1577</t>
        </is>
      </c>
      <c r="T157" s="18" t="inlineStr">
        <is>
          <t>Viáticos - Alimentación</t>
        </is>
      </c>
    </row>
    <row r="158">
      <c r="A158" s="42" t="n">
        <v>46106.65099537037</v>
      </c>
      <c r="B158" s="16" t="n">
        <v>2400</v>
      </c>
      <c r="C158" s="16" t="n">
        <v>1801</v>
      </c>
      <c r="D158" s="16" t="inlineStr">
        <is>
          <t>CERRADA</t>
        </is>
      </c>
      <c r="E158" s="16" t="inlineStr">
        <is>
          <t>PAGADA</t>
        </is>
      </c>
      <c r="F158" s="16" t="inlineStr">
        <is>
          <t>C. Material Micropilotaje</t>
        </is>
      </c>
      <c r="G158" s="16" t="inlineStr">
        <is>
          <t>(Sin Subgrupo)</t>
        </is>
      </c>
      <c r="H158" s="16" t="inlineStr">
        <is>
          <t>CEMENTO GRIS X BULTO - UND</t>
        </is>
      </c>
      <c r="I158" s="43" t="n">
        <v>75</v>
      </c>
      <c r="J158" s="44" t="n">
        <v>35500</v>
      </c>
      <c r="K158" s="44" t="n">
        <v>2662500</v>
      </c>
      <c r="L158" s="16" t="inlineStr"/>
      <c r="M158" s="44" t="n">
        <v>0</v>
      </c>
      <c r="N158" s="44">
        <f>K158+M158</f>
        <v/>
      </c>
      <c r="O158" s="16" t="inlineStr">
        <is>
          <t>LAURA SOFIA SALAS ROSERO</t>
        </is>
      </c>
      <c r="P158" s="16" t="inlineStr">
        <is>
          <t>ANDREA PATRICIA LASSO (FERROPAISA)</t>
        </is>
      </c>
      <c r="Q158" s="16" t="inlineStr">
        <is>
          <t>URGENCIA</t>
        </is>
      </c>
      <c r="R158" s="16" t="inlineStr">
        <is>
          <t>MINI GRANJAS</t>
        </is>
      </c>
      <c r="S158" s="16" t="inlineStr">
        <is>
          <t>0742</t>
        </is>
      </c>
      <c r="T158" s="16" t="inlineStr">
        <is>
          <t>Obra civil (concreto, agregados)</t>
        </is>
      </c>
    </row>
    <row r="159">
      <c r="A159" s="45" t="n">
        <v>46105.60274305556</v>
      </c>
      <c r="B159" s="18" t="n">
        <v>2372</v>
      </c>
      <c r="C159" s="18" t="n">
        <v>1812</v>
      </c>
      <c r="D159" s="18" t="inlineStr">
        <is>
          <t>CERRADA</t>
        </is>
      </c>
      <c r="E159" s="18" t="inlineStr">
        <is>
          <t>PAGADA</t>
        </is>
      </c>
      <c r="F159" s="18" t="inlineStr">
        <is>
          <t>Set (Electrico) Suministro</t>
        </is>
      </c>
      <c r="G159" s="18" t="inlineStr">
        <is>
          <t>(Sin Subgrupo)</t>
        </is>
      </c>
      <c r="H159" s="18" t="inlineStr">
        <is>
          <t>SERVICIO DE TRANSPORTE - UND</t>
        </is>
      </c>
      <c r="I159" s="46" t="n">
        <v>1</v>
      </c>
      <c r="J159" s="47" t="n">
        <v>625000</v>
      </c>
      <c r="K159" s="47" t="n">
        <v>625000</v>
      </c>
      <c r="L159" s="18" t="inlineStr">
        <is>
          <t>IVA 19%</t>
        </is>
      </c>
      <c r="M159" s="47" t="n">
        <v>0</v>
      </c>
      <c r="N159" s="47">
        <f>K159+M159</f>
        <v/>
      </c>
      <c r="O159" s="18" t="inlineStr">
        <is>
          <t>LAURA SOFIA SALAS ROSERO</t>
        </is>
      </c>
      <c r="P159" s="18" t="inlineStr">
        <is>
          <t>AWA INGENIERIA LTDA</t>
        </is>
      </c>
      <c r="Q159" s="18" t="inlineStr">
        <is>
          <t>PLANEADA</t>
        </is>
      </c>
      <c r="R159" s="18" t="inlineStr">
        <is>
          <t>MINI GRANJAS</t>
        </is>
      </c>
      <c r="S159" s="18" t="inlineStr">
        <is>
          <t>AWA-20263175</t>
        </is>
      </c>
      <c r="T159" s="18" t="inlineStr">
        <is>
          <t>Viáticos - Transporte</t>
        </is>
      </c>
    </row>
    <row r="160">
      <c r="A160" s="42" t="n">
        <v>46105.60274305556</v>
      </c>
      <c r="B160" s="16" t="n">
        <v>2372</v>
      </c>
      <c r="C160" s="16" t="n">
        <v>1812</v>
      </c>
      <c r="D160" s="16" t="inlineStr">
        <is>
          <t>CERRADA</t>
        </is>
      </c>
      <c r="E160" s="16" t="inlineStr">
        <is>
          <t>PAGADA</t>
        </is>
      </c>
      <c r="F160" s="16" t="inlineStr">
        <is>
          <t>Set (Electrico) Suministro</t>
        </is>
      </c>
      <c r="G160" s="16" t="inlineStr">
        <is>
          <t>(Sin Subgrupo)</t>
        </is>
      </c>
      <c r="H160" s="16" t="inlineStr">
        <is>
          <t>CELDA PARA TRANSFORMADOR SECO DE 1250 KVA CLASE H 13.2KV - UND</t>
        </is>
      </c>
      <c r="I160" s="43" t="n">
        <v>1</v>
      </c>
      <c r="J160" s="44" t="n">
        <v>10290000</v>
      </c>
      <c r="K160" s="44" t="n">
        <v>10290000</v>
      </c>
      <c r="L160" s="16" t="inlineStr">
        <is>
          <t>IVA 19%</t>
        </is>
      </c>
      <c r="M160" s="44" t="n">
        <v>1955100</v>
      </c>
      <c r="N160" s="44">
        <f>K160+M160</f>
        <v/>
      </c>
      <c r="O160" s="16" t="inlineStr">
        <is>
          <t>LAURA SOFIA SALAS ROSERO</t>
        </is>
      </c>
      <c r="P160" s="16" t="inlineStr">
        <is>
          <t>AWA INGENIERIA LTDA</t>
        </is>
      </c>
      <c r="Q160" s="16" t="inlineStr">
        <is>
          <t>PLANEADA</t>
        </is>
      </c>
      <c r="R160" s="16" t="inlineStr">
        <is>
          <t>MINI GRANJAS</t>
        </is>
      </c>
      <c r="S160" s="16" t="inlineStr">
        <is>
          <t>AWA-20263175</t>
        </is>
      </c>
      <c r="T160" s="16" t="inlineStr">
        <is>
          <t>Transformadores y celdas</t>
        </is>
      </c>
    </row>
    <row r="161">
      <c r="A161" s="45" t="n">
        <v>46099.63600694444</v>
      </c>
      <c r="B161" s="18" t="n">
        <v>2338</v>
      </c>
      <c r="C161" s="18" t="n">
        <v>1762</v>
      </c>
      <c r="D161" s="18" t="inlineStr">
        <is>
          <t>GENERADA</t>
        </is>
      </c>
      <c r="E161" s="18" t="inlineStr">
        <is>
          <t>PAGADA</t>
        </is>
      </c>
      <c r="F161" s="18" t="inlineStr">
        <is>
          <t>Servicio</t>
        </is>
      </c>
      <c r="G161" s="18" t="inlineStr">
        <is>
          <t>Upme</t>
        </is>
      </c>
      <c r="H161" s="18" t="inlineStr">
        <is>
          <t>CERTIFICADO UPME - UND</t>
        </is>
      </c>
      <c r="I161" s="46" t="n">
        <v>1</v>
      </c>
      <c r="J161" s="47" t="n">
        <v>7843530</v>
      </c>
      <c r="K161" s="47" t="n">
        <v>7843530</v>
      </c>
      <c r="L161" s="18" t="inlineStr"/>
      <c r="M161" s="47" t="n">
        <v>0</v>
      </c>
      <c r="N161" s="47">
        <f>K161+M161</f>
        <v/>
      </c>
      <c r="O161" s="18" t="inlineStr">
        <is>
          <t>LAURA SOFIA SALAS ROSERO</t>
        </is>
      </c>
      <c r="P161" s="18" t="inlineStr">
        <is>
          <t>UNIDAD DE PLANEACION MINERO ENERGETICA (UPME)</t>
        </is>
      </c>
      <c r="Q161" s="18" t="inlineStr">
        <is>
          <t>PLANEADA</t>
        </is>
      </c>
      <c r="R161" s="18" t="inlineStr">
        <is>
          <t>MINI GRANJAS</t>
        </is>
      </c>
      <c r="S161" s="18" t="inlineStr"/>
      <c r="T161" s="18" t="inlineStr">
        <is>
          <t>RETIE / Legalización / Medición</t>
        </is>
      </c>
    </row>
    <row r="162">
      <c r="A162" s="42" t="n">
        <v>46099.63506944444</v>
      </c>
      <c r="B162" s="16" t="n">
        <v>2337</v>
      </c>
      <c r="C162" s="16" t="n">
        <v>1770</v>
      </c>
      <c r="D162" s="16" t="inlineStr">
        <is>
          <t>CERRADA</t>
        </is>
      </c>
      <c r="E162" s="16" t="inlineStr">
        <is>
          <t>PAGADA</t>
        </is>
      </c>
      <c r="F162" s="16" t="inlineStr">
        <is>
          <t>Servicio</t>
        </is>
      </c>
      <c r="G162" s="16" t="inlineStr">
        <is>
          <t>Baños Portátiles</t>
        </is>
      </c>
      <c r="H162" s="16" t="inlineStr">
        <is>
          <t>ALQUILER DE LAVAMANOS PORTATIL - UND</t>
        </is>
      </c>
      <c r="I162" s="43" t="n">
        <v>1</v>
      </c>
      <c r="J162" s="44" t="n">
        <v>40000</v>
      </c>
      <c r="K162" s="44" t="n">
        <v>40000</v>
      </c>
      <c r="L162" s="16" t="inlineStr"/>
      <c r="M162" s="44" t="n">
        <v>0</v>
      </c>
      <c r="N162" s="44">
        <f>K162+M162</f>
        <v/>
      </c>
      <c r="O162" s="16" t="inlineStr">
        <is>
          <t>LAURA SOFIA SALAS ROSERO</t>
        </is>
      </c>
      <c r="P162" s="16" t="inlineStr">
        <is>
          <t>HOOVER ANTONIO GUACHAVES LASSO</t>
        </is>
      </c>
      <c r="Q162" s="16" t="inlineStr">
        <is>
          <t>PLANEADA</t>
        </is>
      </c>
      <c r="R162" s="16" t="inlineStr">
        <is>
          <t>MINI GRANJAS</t>
        </is>
      </c>
      <c r="S162" s="16" t="inlineStr">
        <is>
          <t>018</t>
        </is>
      </c>
      <c r="T162" s="16" t="inlineStr">
        <is>
          <t>Baños y sanitarios portátiles</t>
        </is>
      </c>
    </row>
    <row r="163">
      <c r="A163" s="45" t="n">
        <v>46099.63506944444</v>
      </c>
      <c r="B163" s="18" t="n">
        <v>2337</v>
      </c>
      <c r="C163" s="18" t="n">
        <v>1770</v>
      </c>
      <c r="D163" s="18" t="inlineStr">
        <is>
          <t>CERRADA</t>
        </is>
      </c>
      <c r="E163" s="18" t="inlineStr">
        <is>
          <t>PAGADA</t>
        </is>
      </c>
      <c r="F163" s="18" t="inlineStr">
        <is>
          <t>Servicio</t>
        </is>
      </c>
      <c r="G163" s="18" t="inlineStr">
        <is>
          <t>Baños Portátiles</t>
        </is>
      </c>
      <c r="H163" s="18" t="inlineStr">
        <is>
          <t>ALQUILER DE BAÑO PORTATIL - UND</t>
        </is>
      </c>
      <c r="I163" s="46" t="n">
        <v>1</v>
      </c>
      <c r="J163" s="47" t="n">
        <v>1681600</v>
      </c>
      <c r="K163" s="47" t="n">
        <v>1681600</v>
      </c>
      <c r="L163" s="18" t="inlineStr"/>
      <c r="M163" s="47" t="n">
        <v>0</v>
      </c>
      <c r="N163" s="47">
        <f>K163+M163</f>
        <v/>
      </c>
      <c r="O163" s="18" t="inlineStr">
        <is>
          <t>LAURA SOFIA SALAS ROSERO</t>
        </is>
      </c>
      <c r="P163" s="18" t="inlineStr">
        <is>
          <t>HOOVER ANTONIO GUACHAVES LASSO</t>
        </is>
      </c>
      <c r="Q163" s="18" t="inlineStr">
        <is>
          <t>PLANEADA</t>
        </is>
      </c>
      <c r="R163" s="18" t="inlineStr">
        <is>
          <t>MINI GRANJAS</t>
        </is>
      </c>
      <c r="S163" s="18" t="inlineStr">
        <is>
          <t>018</t>
        </is>
      </c>
      <c r="T163" s="18" t="inlineStr">
        <is>
          <t>Baños y sanitarios portátiles</t>
        </is>
      </c>
    </row>
    <row r="164">
      <c r="A164" s="42" t="n">
        <v>46097.5197800926</v>
      </c>
      <c r="B164" s="16" t="n">
        <v>2306</v>
      </c>
      <c r="C164" s="16" t="n">
        <v>1721</v>
      </c>
      <c r="D164" s="16" t="inlineStr">
        <is>
          <t>CERRADA</t>
        </is>
      </c>
      <c r="E164" s="16" t="inlineStr">
        <is>
          <t>PAGADA</t>
        </is>
      </c>
      <c r="F164" s="16" t="inlineStr">
        <is>
          <t>Armado Mesas Fv</t>
        </is>
      </c>
      <c r="G164" s="16" t="inlineStr">
        <is>
          <t>(Sin Subgrupo)</t>
        </is>
      </c>
      <c r="H164" s="16" t="inlineStr">
        <is>
          <t>ALQUILER MEZCLADORA X DÍA - UND</t>
        </is>
      </c>
      <c r="I164" s="43" t="n">
        <v>37</v>
      </c>
      <c r="J164" s="44" t="n">
        <v>45135</v>
      </c>
      <c r="K164" s="44" t="n">
        <v>1669995</v>
      </c>
      <c r="L164" s="16" t="inlineStr"/>
      <c r="M164" s="44" t="n">
        <v>0</v>
      </c>
      <c r="N164" s="44">
        <f>K164+M164</f>
        <v/>
      </c>
      <c r="O164" s="16" t="inlineStr">
        <is>
          <t>LAURA SOFIA SALAS ROSERO</t>
        </is>
      </c>
      <c r="P164" s="16" t="inlineStr">
        <is>
          <t>GLADIS MARGOTH ARTEAGA</t>
        </is>
      </c>
      <c r="Q164" s="16" t="inlineStr">
        <is>
          <t>PLANEADA</t>
        </is>
      </c>
      <c r="R164" s="16" t="inlineStr">
        <is>
          <t>MINI GRANJAS</t>
        </is>
      </c>
      <c r="S164" s="16" t="inlineStr">
        <is>
          <t>005</t>
        </is>
      </c>
      <c r="T164" s="16" t="inlineStr">
        <is>
          <t>Alquiler de maquinaria y equipos</t>
        </is>
      </c>
    </row>
    <row r="165">
      <c r="A165" s="45" t="n">
        <v>46097.47399305556</v>
      </c>
      <c r="B165" s="18" t="n">
        <v>2294</v>
      </c>
      <c r="C165" s="18" t="n">
        <v>1719</v>
      </c>
      <c r="D165" s="18" t="inlineStr">
        <is>
          <t>CERRADA</t>
        </is>
      </c>
      <c r="E165" s="18" t="inlineStr">
        <is>
          <t>PAGADA</t>
        </is>
      </c>
      <c r="F165" s="18" t="inlineStr">
        <is>
          <t>Servicio</t>
        </is>
      </c>
      <c r="G165" s="18" t="inlineStr">
        <is>
          <t>Preparativos Previos Inicio De Obras</t>
        </is>
      </c>
      <c r="H165" s="18" t="inlineStr">
        <is>
          <t>ALQUILER RETROEXCAVADORA - UND</t>
        </is>
      </c>
      <c r="I165" s="46" t="n">
        <v>1</v>
      </c>
      <c r="J165" s="47" t="n">
        <v>38903000</v>
      </c>
      <c r="K165" s="47" t="n">
        <v>38903000</v>
      </c>
      <c r="L165" s="18" t="inlineStr"/>
      <c r="M165" s="47" t="n">
        <v>0</v>
      </c>
      <c r="N165" s="47">
        <f>K165+M165</f>
        <v/>
      </c>
      <c r="O165" s="18" t="inlineStr">
        <is>
          <t>LAURA SOFIA SALAS ROSERO</t>
        </is>
      </c>
      <c r="P165" s="18" t="inlineStr">
        <is>
          <t>FAINCO SAS</t>
        </is>
      </c>
      <c r="Q165" s="18" t="inlineStr">
        <is>
          <t>PLANEADA</t>
        </is>
      </c>
      <c r="R165" s="18" t="inlineStr">
        <is>
          <t>MINI GRANJAS</t>
        </is>
      </c>
      <c r="S165" s="18" t="inlineStr">
        <is>
          <t>Nº FE-538</t>
        </is>
      </c>
      <c r="T165" s="18" t="inlineStr">
        <is>
          <t>Alquiler de maquinaria y equipos</t>
        </is>
      </c>
    </row>
    <row r="166">
      <c r="A166" s="42" t="n">
        <v>46086.3955787037</v>
      </c>
      <c r="B166" s="16" t="n">
        <v>2182</v>
      </c>
      <c r="C166" s="16" t="n">
        <v>1651</v>
      </c>
      <c r="D166" s="16" t="inlineStr">
        <is>
          <t>CERRADA</t>
        </is>
      </c>
      <c r="E166" s="16" t="inlineStr">
        <is>
          <t>PAGADA</t>
        </is>
      </c>
      <c r="F166" s="16" t="inlineStr">
        <is>
          <t>Servicio</t>
        </is>
      </c>
      <c r="G166" s="16" t="inlineStr">
        <is>
          <t>Logística Viáticos</t>
        </is>
      </c>
      <c r="H166" s="16" t="inlineStr">
        <is>
          <t>SERVICIO DE RESTAURANTE - UND</t>
        </is>
      </c>
      <c r="I166" s="43" t="n">
        <v>67</v>
      </c>
      <c r="J166" s="44" t="n">
        <v>10362</v>
      </c>
      <c r="K166" s="44" t="n">
        <v>694254</v>
      </c>
      <c r="L166" s="16" t="inlineStr"/>
      <c r="M166" s="44" t="n">
        <v>0</v>
      </c>
      <c r="N166" s="44">
        <f>K166+M166</f>
        <v/>
      </c>
      <c r="O166" s="16" t="inlineStr">
        <is>
          <t>JULIO CESAR DEAVILA MARTINEZ</t>
        </is>
      </c>
      <c r="P166" s="16" t="inlineStr">
        <is>
          <t>MAYERLINE TOBAR GOMEZ</t>
        </is>
      </c>
      <c r="Q166" s="16" t="inlineStr">
        <is>
          <t>URGENCIA</t>
        </is>
      </c>
      <c r="R166" s="16" t="inlineStr">
        <is>
          <t>MINI GRANJAS</t>
        </is>
      </c>
      <c r="S166" s="16" t="inlineStr">
        <is>
          <t>FE1522</t>
        </is>
      </c>
      <c r="T166" s="16" t="inlineStr">
        <is>
          <t>Viáticos - Alimentación</t>
        </is>
      </c>
    </row>
    <row r="167">
      <c r="A167" s="45" t="n">
        <v>46086.3955787037</v>
      </c>
      <c r="B167" s="18" t="n">
        <v>2182</v>
      </c>
      <c r="C167" s="18" t="n">
        <v>1651</v>
      </c>
      <c r="D167" s="18" t="inlineStr">
        <is>
          <t>CERRADA</t>
        </is>
      </c>
      <c r="E167" s="18" t="inlineStr">
        <is>
          <t>PAGADA</t>
        </is>
      </c>
      <c r="F167" s="18" t="inlineStr">
        <is>
          <t>Servicio</t>
        </is>
      </c>
      <c r="G167" s="18" t="inlineStr">
        <is>
          <t>Logística Viáticos</t>
        </is>
      </c>
      <c r="H167" s="18" t="inlineStr">
        <is>
          <t>SERVICIO DE RESTAURANTE - UND</t>
        </is>
      </c>
      <c r="I167" s="46" t="n">
        <v>61</v>
      </c>
      <c r="J167" s="47" t="n">
        <v>12435</v>
      </c>
      <c r="K167" s="47" t="n">
        <v>758535</v>
      </c>
      <c r="L167" s="18" t="inlineStr"/>
      <c r="M167" s="47" t="n">
        <v>0</v>
      </c>
      <c r="N167" s="47">
        <f>K167+M167</f>
        <v/>
      </c>
      <c r="O167" s="18" t="inlineStr">
        <is>
          <t>JULIO CESAR DEAVILA MARTINEZ</t>
        </is>
      </c>
      <c r="P167" s="18" t="inlineStr">
        <is>
          <t>MAYERLINE TOBAR GOMEZ</t>
        </is>
      </c>
      <c r="Q167" s="18" t="inlineStr">
        <is>
          <t>URGENCIA</t>
        </is>
      </c>
      <c r="R167" s="18" t="inlineStr">
        <is>
          <t>MINI GRANJAS</t>
        </is>
      </c>
      <c r="S167" s="18" t="inlineStr">
        <is>
          <t>FE1522</t>
        </is>
      </c>
      <c r="T167" s="18" t="inlineStr">
        <is>
          <t>Viáticos - Alimentación</t>
        </is>
      </c>
    </row>
    <row r="168">
      <c r="A168" s="42" t="n">
        <v>46086.3955787037</v>
      </c>
      <c r="B168" s="16" t="n">
        <v>2182</v>
      </c>
      <c r="C168" s="16" t="n">
        <v>1651</v>
      </c>
      <c r="D168" s="16" t="inlineStr">
        <is>
          <t>CERRADA</t>
        </is>
      </c>
      <c r="E168" s="16" t="inlineStr">
        <is>
          <t>PAGADA</t>
        </is>
      </c>
      <c r="F168" s="16" t="inlineStr">
        <is>
          <t>Servicio</t>
        </is>
      </c>
      <c r="G168" s="16" t="inlineStr">
        <is>
          <t>Logística Viáticos</t>
        </is>
      </c>
      <c r="H168" s="16" t="inlineStr">
        <is>
          <t>SERVICIO DE RESTAURANTE - UND</t>
        </is>
      </c>
      <c r="I168" s="43" t="n">
        <v>74</v>
      </c>
      <c r="J168" s="44" t="n">
        <v>12435</v>
      </c>
      <c r="K168" s="44" t="n">
        <v>920190</v>
      </c>
      <c r="L168" s="16" t="inlineStr"/>
      <c r="M168" s="44" t="n">
        <v>0</v>
      </c>
      <c r="N168" s="44">
        <f>K168+M168</f>
        <v/>
      </c>
      <c r="O168" s="16" t="inlineStr">
        <is>
          <t>JULIO CESAR DEAVILA MARTINEZ</t>
        </is>
      </c>
      <c r="P168" s="16" t="inlineStr">
        <is>
          <t>MAYERLINE TOBAR GOMEZ</t>
        </is>
      </c>
      <c r="Q168" s="16" t="inlineStr">
        <is>
          <t>URGENCIA</t>
        </is>
      </c>
      <c r="R168" s="16" t="inlineStr">
        <is>
          <t>MINI GRANJAS</t>
        </is>
      </c>
      <c r="S168" s="16" t="inlineStr">
        <is>
          <t>FE1522</t>
        </is>
      </c>
      <c r="T168" s="16" t="inlineStr">
        <is>
          <t>Viáticos - Alimentación</t>
        </is>
      </c>
    </row>
    <row r="169">
      <c r="A169" s="45" t="n">
        <v>46086.36620370371</v>
      </c>
      <c r="B169" s="18" t="n">
        <v>2179</v>
      </c>
      <c r="C169" s="18" t="n">
        <v>1656</v>
      </c>
      <c r="D169" s="18" t="inlineStr">
        <is>
          <t>CERRADA</t>
        </is>
      </c>
      <c r="E169" s="18" t="inlineStr">
        <is>
          <t>PAGADA</t>
        </is>
      </c>
      <c r="F169" s="18" t="inlineStr">
        <is>
          <t>Servicio</t>
        </is>
      </c>
      <c r="G169" s="18" t="inlineStr">
        <is>
          <t>Logística Viáticos</t>
        </is>
      </c>
      <c r="H169" s="18" t="inlineStr">
        <is>
          <t>SERVICIO DE HOTEL - UND</t>
        </is>
      </c>
      <c r="I169" s="46" t="n">
        <v>2</v>
      </c>
      <c r="J169" s="47" t="n">
        <v>518134</v>
      </c>
      <c r="K169" s="47" t="n">
        <v>1036268</v>
      </c>
      <c r="L169" s="18" t="inlineStr"/>
      <c r="M169" s="47" t="n">
        <v>0</v>
      </c>
      <c r="N169" s="47">
        <f>K169+M169</f>
        <v/>
      </c>
      <c r="O169" s="18" t="inlineStr">
        <is>
          <t>JULIO CESAR DEAVILA MARTINEZ</t>
        </is>
      </c>
      <c r="P169" s="18" t="inlineStr">
        <is>
          <t>MAYERLINE TOBAR GOMEZ</t>
        </is>
      </c>
      <c r="Q169" s="18" t="inlineStr">
        <is>
          <t>URGENCIA</t>
        </is>
      </c>
      <c r="R169" s="18" t="inlineStr">
        <is>
          <t>MINI GRANJAS</t>
        </is>
      </c>
      <c r="S169" s="18" t="inlineStr">
        <is>
          <t>FE1536</t>
        </is>
      </c>
      <c r="T169" s="18" t="inlineStr">
        <is>
          <t>Viáticos - Hospedaje</t>
        </is>
      </c>
    </row>
    <row r="170">
      <c r="A170" s="42" t="n">
        <v>46086.36620370371</v>
      </c>
      <c r="B170" s="16" t="n">
        <v>2179</v>
      </c>
      <c r="C170" s="16" t="n">
        <v>1656</v>
      </c>
      <c r="D170" s="16" t="inlineStr">
        <is>
          <t>CERRADA</t>
        </is>
      </c>
      <c r="E170" s="16" t="inlineStr">
        <is>
          <t>PAGADA</t>
        </is>
      </c>
      <c r="F170" s="16" t="inlineStr">
        <is>
          <t>Servicio</t>
        </is>
      </c>
      <c r="G170" s="16" t="inlineStr">
        <is>
          <t>Logística Viáticos</t>
        </is>
      </c>
      <c r="H170" s="16" t="inlineStr">
        <is>
          <t>SERVICIO DE HOTEL - UND</t>
        </is>
      </c>
      <c r="I170" s="43" t="n">
        <v>2</v>
      </c>
      <c r="J170" s="44" t="n">
        <v>621761</v>
      </c>
      <c r="K170" s="44" t="n">
        <v>1243522</v>
      </c>
      <c r="L170" s="16" t="inlineStr"/>
      <c r="M170" s="44" t="n">
        <v>0</v>
      </c>
      <c r="N170" s="44">
        <f>K170+M170</f>
        <v/>
      </c>
      <c r="O170" s="16" t="inlineStr">
        <is>
          <t>JULIO CESAR DEAVILA MARTINEZ</t>
        </is>
      </c>
      <c r="P170" s="16" t="inlineStr">
        <is>
          <t>MAYERLINE TOBAR GOMEZ</t>
        </is>
      </c>
      <c r="Q170" s="16" t="inlineStr">
        <is>
          <t>URGENCIA</t>
        </is>
      </c>
      <c r="R170" s="16" t="inlineStr">
        <is>
          <t>MINI GRANJAS</t>
        </is>
      </c>
      <c r="S170" s="16" t="inlineStr">
        <is>
          <t>FE1536</t>
        </is>
      </c>
      <c r="T170" s="16" t="inlineStr">
        <is>
          <t>Viáticos - Hospedaje</t>
        </is>
      </c>
    </row>
    <row r="171">
      <c r="A171" s="45" t="n">
        <v>46084.67380787037</v>
      </c>
      <c r="B171" s="18" t="n">
        <v>2150</v>
      </c>
      <c r="C171" s="18" t="n">
        <v>1615</v>
      </c>
      <c r="D171" s="18" t="inlineStr">
        <is>
          <t>CERRADA</t>
        </is>
      </c>
      <c r="E171" s="18" t="inlineStr">
        <is>
          <t>PAGADA</t>
        </is>
      </c>
      <c r="F171" s="18" t="inlineStr">
        <is>
          <t>C. Material Micropilotaje</t>
        </is>
      </c>
      <c r="G171" s="18" t="inlineStr">
        <is>
          <t>(Sin Subgrupo)</t>
        </is>
      </c>
      <c r="H171" s="18" t="inlineStr">
        <is>
          <t>ARENA X M3 - UND</t>
        </is>
      </c>
      <c r="I171" s="46" t="n">
        <v>21</v>
      </c>
      <c r="J171" s="47" t="n">
        <v>90000</v>
      </c>
      <c r="K171" s="47" t="n">
        <v>1890000</v>
      </c>
      <c r="L171" s="18" t="inlineStr"/>
      <c r="M171" s="47" t="n">
        <v>0</v>
      </c>
      <c r="N171" s="47">
        <f>K171+M171</f>
        <v/>
      </c>
      <c r="O171" s="18" t="inlineStr">
        <is>
          <t>JULIO CESAR DEAVILA MARTINEZ</t>
        </is>
      </c>
      <c r="P171" s="18" t="inlineStr">
        <is>
          <t>CAMPO HELMER PORTILLO PORTILLA</t>
        </is>
      </c>
      <c r="Q171" s="18" t="inlineStr">
        <is>
          <t>URGENCIA</t>
        </is>
      </c>
      <c r="R171" s="18" t="inlineStr">
        <is>
          <t>MINI GRANJAS</t>
        </is>
      </c>
      <c r="S171" s="18" t="inlineStr">
        <is>
          <t>COT0213</t>
        </is>
      </c>
      <c r="T171" s="18" t="inlineStr">
        <is>
          <t>Obra civil (concreto, agregados)</t>
        </is>
      </c>
    </row>
    <row r="172">
      <c r="A172" s="42" t="n">
        <v>46084.67380787037</v>
      </c>
      <c r="B172" s="16" t="n">
        <v>2150</v>
      </c>
      <c r="C172" s="16" t="n">
        <v>1615</v>
      </c>
      <c r="D172" s="16" t="inlineStr">
        <is>
          <t>CERRADA</t>
        </is>
      </c>
      <c r="E172" s="16" t="inlineStr">
        <is>
          <t>PAGADA</t>
        </is>
      </c>
      <c r="F172" s="16" t="inlineStr">
        <is>
          <t>C. Material Micropilotaje</t>
        </is>
      </c>
      <c r="G172" s="16" t="inlineStr">
        <is>
          <t>(Sin Subgrupo)</t>
        </is>
      </c>
      <c r="H172" s="16" t="inlineStr">
        <is>
          <t>TRITURADO 3/4 - M3</t>
        </is>
      </c>
      <c r="I172" s="43" t="n">
        <v>35</v>
      </c>
      <c r="J172" s="44" t="n">
        <v>164000</v>
      </c>
      <c r="K172" s="44" t="n">
        <v>5740000</v>
      </c>
      <c r="L172" s="16" t="inlineStr"/>
      <c r="M172" s="44" t="n">
        <v>0</v>
      </c>
      <c r="N172" s="44">
        <f>K172+M172</f>
        <v/>
      </c>
      <c r="O172" s="16" t="inlineStr">
        <is>
          <t>JULIO CESAR DEAVILA MARTINEZ</t>
        </is>
      </c>
      <c r="P172" s="16" t="inlineStr">
        <is>
          <t>CAMPO HELMER PORTILLO PORTILLA</t>
        </is>
      </c>
      <c r="Q172" s="16" t="inlineStr">
        <is>
          <t>URGENCIA</t>
        </is>
      </c>
      <c r="R172" s="16" t="inlineStr">
        <is>
          <t>MINI GRANJAS</t>
        </is>
      </c>
      <c r="S172" s="16" t="inlineStr">
        <is>
          <t>COT0213</t>
        </is>
      </c>
      <c r="T172" s="16" t="inlineStr">
        <is>
          <t>Obra civil (concreto, agregados)</t>
        </is>
      </c>
    </row>
    <row r="173">
      <c r="A173" s="45" t="n">
        <v>46084.67219907408</v>
      </c>
      <c r="B173" s="18" t="n">
        <v>2148</v>
      </c>
      <c r="C173" s="18" t="n">
        <v>1616</v>
      </c>
      <c r="D173" s="18" t="inlineStr">
        <is>
          <t>CERRADA</t>
        </is>
      </c>
      <c r="E173" s="18" t="inlineStr">
        <is>
          <t>PAGADA</t>
        </is>
      </c>
      <c r="F173" s="18" t="inlineStr">
        <is>
          <t>Servicio</t>
        </is>
      </c>
      <c r="G173" s="18" t="inlineStr">
        <is>
          <t>Preparativos Previos Inicio De Obras</t>
        </is>
      </c>
      <c r="H173" s="18" t="inlineStr">
        <is>
          <t>CRUDO DE RÍO X M3 - M3</t>
        </is>
      </c>
      <c r="I173" s="46" t="n">
        <v>42</v>
      </c>
      <c r="J173" s="47" t="n">
        <v>55000</v>
      </c>
      <c r="K173" s="47" t="n">
        <v>2310000</v>
      </c>
      <c r="L173" s="18" t="inlineStr"/>
      <c r="M173" s="47" t="n">
        <v>0</v>
      </c>
      <c r="N173" s="47">
        <f>K173+M173</f>
        <v/>
      </c>
      <c r="O173" s="18" t="inlineStr">
        <is>
          <t>JULIO CESAR DEAVILA MARTINEZ</t>
        </is>
      </c>
      <c r="P173" s="18" t="inlineStr">
        <is>
          <t>CAMPO HELMER PORTILLO PORTILLA</t>
        </is>
      </c>
      <c r="Q173" s="18" t="inlineStr">
        <is>
          <t>PLANEADA</t>
        </is>
      </c>
      <c r="R173" s="18" t="inlineStr">
        <is>
          <t>MINI GRANJAS</t>
        </is>
      </c>
      <c r="S173" s="18" t="inlineStr">
        <is>
          <t>COT 0214</t>
        </is>
      </c>
      <c r="T173" s="18" t="inlineStr">
        <is>
          <t>Obra civil (concreto, agregados)</t>
        </is>
      </c>
    </row>
    <row r="174">
      <c r="A174" s="42" t="n">
        <v>46076.45730324074</v>
      </c>
      <c r="B174" s="16" t="n">
        <v>2042</v>
      </c>
      <c r="C174" s="16" t="n">
        <v>1589</v>
      </c>
      <c r="D174" s="16" t="inlineStr">
        <is>
          <t>CERRADA</t>
        </is>
      </c>
      <c r="E174" s="16" t="inlineStr">
        <is>
          <t>PAGADA</t>
        </is>
      </c>
      <c r="F174" s="16" t="inlineStr">
        <is>
          <t>Servicio</t>
        </is>
      </c>
      <c r="G174" s="16" t="inlineStr">
        <is>
          <t>Transportes</t>
        </is>
      </c>
      <c r="H174" s="16" t="inlineStr">
        <is>
          <t>FLETE - UND</t>
        </is>
      </c>
      <c r="I174" s="43" t="n">
        <v>1</v>
      </c>
      <c r="J174" s="44" t="n">
        <v>825000</v>
      </c>
      <c r="K174" s="44" t="n">
        <v>825000</v>
      </c>
      <c r="L174" s="16" t="inlineStr">
        <is>
          <t>IVA 19%</t>
        </is>
      </c>
      <c r="M174" s="44" t="n">
        <v>156750</v>
      </c>
      <c r="N174" s="44">
        <f>K174+M174</f>
        <v/>
      </c>
      <c r="O174" s="16" t="inlineStr">
        <is>
          <t>JULIO CESAR DEAVILA MARTINEZ</t>
        </is>
      </c>
      <c r="P174" s="16" t="inlineStr">
        <is>
          <t>GRUPO SOLAIRE SAS</t>
        </is>
      </c>
      <c r="Q174" s="16" t="inlineStr">
        <is>
          <t>PLANEADA</t>
        </is>
      </c>
      <c r="R174" s="16" t="inlineStr">
        <is>
          <t>MINI GRANJAS</t>
        </is>
      </c>
      <c r="S174" s="16" t="inlineStr">
        <is>
          <t>26172</t>
        </is>
      </c>
      <c r="T174" s="16" t="inlineStr">
        <is>
          <t>Fletes y transporte de carga</t>
        </is>
      </c>
    </row>
    <row r="175">
      <c r="A175" s="45" t="n">
        <v>46076.45730324074</v>
      </c>
      <c r="B175" s="18" t="n">
        <v>2042</v>
      </c>
      <c r="C175" s="18" t="n">
        <v>1589</v>
      </c>
      <c r="D175" s="18" t="inlineStr">
        <is>
          <t>CERRADA</t>
        </is>
      </c>
      <c r="E175" s="18" t="inlineStr">
        <is>
          <t>PAGADA</t>
        </is>
      </c>
      <c r="F175" s="18" t="inlineStr">
        <is>
          <t>C. Inversores</t>
        </is>
      </c>
      <c r="G175" s="18" t="inlineStr">
        <is>
          <t>(Sin Subgrupo)</t>
        </is>
      </c>
      <c r="H175" s="18" t="inlineStr">
        <is>
          <t>SMARTLOGGER3000A01AU 4G - UND</t>
        </is>
      </c>
      <c r="I175" s="46" t="n">
        <v>1</v>
      </c>
      <c r="J175" s="47" t="n">
        <v>1920000</v>
      </c>
      <c r="K175" s="47" t="n">
        <v>1920000</v>
      </c>
      <c r="L175" s="18" t="inlineStr">
        <is>
          <t>IVA 19%</t>
        </is>
      </c>
      <c r="M175" s="47" t="n">
        <v>364800</v>
      </c>
      <c r="N175" s="47">
        <f>K175+M175</f>
        <v/>
      </c>
      <c r="O175" s="18" t="inlineStr">
        <is>
          <t>JULIO CESAR DEAVILA MARTINEZ</t>
        </is>
      </c>
      <c r="P175" s="18" t="inlineStr">
        <is>
          <t>GRUPO SOLAIRE SAS</t>
        </is>
      </c>
      <c r="Q175" s="18" t="inlineStr">
        <is>
          <t>PLANEADA</t>
        </is>
      </c>
      <c r="R175" s="18" t="inlineStr">
        <is>
          <t>MINI GRANJAS</t>
        </is>
      </c>
      <c r="S175" s="18" t="inlineStr">
        <is>
          <t>26172</t>
        </is>
      </c>
      <c r="T175" s="18" t="inlineStr">
        <is>
          <t>Monitoreo y comunicaciones</t>
        </is>
      </c>
    </row>
    <row r="176">
      <c r="A176" s="42" t="n">
        <v>46076.45730324074</v>
      </c>
      <c r="B176" s="16" t="n">
        <v>2042</v>
      </c>
      <c r="C176" s="16" t="n">
        <v>1589</v>
      </c>
      <c r="D176" s="16" t="inlineStr">
        <is>
          <t>CERRADA</t>
        </is>
      </c>
      <c r="E176" s="16" t="inlineStr">
        <is>
          <t>PAGADA</t>
        </is>
      </c>
      <c r="F176" s="16" t="inlineStr">
        <is>
          <t>C. Inversores</t>
        </is>
      </c>
      <c r="G176" s="16" t="inlineStr">
        <is>
          <t>(Sin Subgrupo)</t>
        </is>
      </c>
      <c r="H176" s="16" t="inlineStr">
        <is>
          <t>HUAWEI SUN2000 - 40 KTL - M3 (INVERSOR) - UND</t>
        </is>
      </c>
      <c r="I176" s="43" t="n">
        <v>1</v>
      </c>
      <c r="J176" s="44" t="n">
        <v>9180000</v>
      </c>
      <c r="K176" s="44" t="n">
        <v>9180000</v>
      </c>
      <c r="L176" s="16" t="inlineStr"/>
      <c r="M176" s="44" t="n">
        <v>0</v>
      </c>
      <c r="N176" s="44">
        <f>K176+M176</f>
        <v/>
      </c>
      <c r="O176" s="16" t="inlineStr">
        <is>
          <t>JULIO CESAR DEAVILA MARTINEZ</t>
        </is>
      </c>
      <c r="P176" s="16" t="inlineStr">
        <is>
          <t>GRUPO SOLAIRE SAS</t>
        </is>
      </c>
      <c r="Q176" s="16" t="inlineStr">
        <is>
          <t>PLANEADA</t>
        </is>
      </c>
      <c r="R176" s="16" t="inlineStr">
        <is>
          <t>MINI GRANJAS</t>
        </is>
      </c>
      <c r="S176" s="16" t="inlineStr">
        <is>
          <t>26172</t>
        </is>
      </c>
      <c r="T176" s="16" t="inlineStr">
        <is>
          <t>Inversores</t>
        </is>
      </c>
    </row>
    <row r="177">
      <c r="A177" s="45" t="n">
        <v>46076.45730324074</v>
      </c>
      <c r="B177" s="18" t="n">
        <v>2042</v>
      </c>
      <c r="C177" s="18" t="n">
        <v>1589</v>
      </c>
      <c r="D177" s="18" t="inlineStr">
        <is>
          <t>CERRADA</t>
        </is>
      </c>
      <c r="E177" s="18" t="inlineStr">
        <is>
          <t>PAGADA</t>
        </is>
      </c>
      <c r="F177" s="18" t="inlineStr">
        <is>
          <t>C. Inversores</t>
        </is>
      </c>
      <c r="G177" s="18" t="inlineStr">
        <is>
          <t>(Sin Subgrupo)</t>
        </is>
      </c>
      <c r="H177" s="18" t="inlineStr">
        <is>
          <t>HUAWEI SUN2000 - 50 KTL - M3 (INVERSOR) - UND</t>
        </is>
      </c>
      <c r="I177" s="46" t="n">
        <v>1</v>
      </c>
      <c r="J177" s="47" t="n">
        <v>9640000</v>
      </c>
      <c r="K177" s="47" t="n">
        <v>9640000</v>
      </c>
      <c r="L177" s="18" t="inlineStr"/>
      <c r="M177" s="47" t="n">
        <v>0</v>
      </c>
      <c r="N177" s="47">
        <f>K177+M177</f>
        <v/>
      </c>
      <c r="O177" s="18" t="inlineStr">
        <is>
          <t>JULIO CESAR DEAVILA MARTINEZ</t>
        </is>
      </c>
      <c r="P177" s="18" t="inlineStr">
        <is>
          <t>GRUPO SOLAIRE SAS</t>
        </is>
      </c>
      <c r="Q177" s="18" t="inlineStr">
        <is>
          <t>PLANEADA</t>
        </is>
      </c>
      <c r="R177" s="18" t="inlineStr">
        <is>
          <t>MINI GRANJAS</t>
        </is>
      </c>
      <c r="S177" s="18" t="inlineStr">
        <is>
          <t>26172</t>
        </is>
      </c>
      <c r="T177" s="18" t="inlineStr">
        <is>
          <t>Inversores</t>
        </is>
      </c>
    </row>
    <row r="178">
      <c r="A178" s="42" t="n">
        <v>46076.45730324074</v>
      </c>
      <c r="B178" s="16" t="n">
        <v>2042</v>
      </c>
      <c r="C178" s="16" t="n">
        <v>1589</v>
      </c>
      <c r="D178" s="16" t="inlineStr">
        <is>
          <t>CERRADA</t>
        </is>
      </c>
      <c r="E178" s="16" t="inlineStr">
        <is>
          <t>PAGADA</t>
        </is>
      </c>
      <c r="F178" s="16" t="inlineStr">
        <is>
          <t>C. Inversores</t>
        </is>
      </c>
      <c r="G178" s="16" t="inlineStr">
        <is>
          <t>(Sin Subgrupo)</t>
        </is>
      </c>
      <c r="H178" s="16" t="inlineStr">
        <is>
          <t>HUAWEI SIN2000 - 330 KTL - H1 (INVERSOR) - UND</t>
        </is>
      </c>
      <c r="I178" s="43" t="n">
        <v>3</v>
      </c>
      <c r="J178" s="44" t="n">
        <v>28200000</v>
      </c>
      <c r="K178" s="44" t="n">
        <v>84600000</v>
      </c>
      <c r="L178" s="16" t="inlineStr"/>
      <c r="M178" s="44" t="n">
        <v>0</v>
      </c>
      <c r="N178" s="44">
        <f>K178+M178</f>
        <v/>
      </c>
      <c r="O178" s="16" t="inlineStr">
        <is>
          <t>JULIO CESAR DEAVILA MARTINEZ</t>
        </is>
      </c>
      <c r="P178" s="16" t="inlineStr">
        <is>
          <t>GRUPO SOLAIRE SAS</t>
        </is>
      </c>
      <c r="Q178" s="16" t="inlineStr">
        <is>
          <t>PLANEADA</t>
        </is>
      </c>
      <c r="R178" s="16" t="inlineStr">
        <is>
          <t>MINI GRANJAS</t>
        </is>
      </c>
      <c r="S178" s="16" t="inlineStr">
        <is>
          <t>26172</t>
        </is>
      </c>
      <c r="T178" s="16" t="inlineStr">
        <is>
          <t>Inversores</t>
        </is>
      </c>
    </row>
    <row r="179">
      <c r="A179" s="45" t="n">
        <v>46076.42221064815</v>
      </c>
      <c r="B179" s="18" t="n">
        <v>2038</v>
      </c>
      <c r="C179" s="18" t="n">
        <v>1565</v>
      </c>
      <c r="D179" s="18" t="inlineStr">
        <is>
          <t>CERRADA</t>
        </is>
      </c>
      <c r="E179" s="18" t="inlineStr">
        <is>
          <t>PAGADA</t>
        </is>
      </c>
      <c r="F179" s="18" t="inlineStr">
        <is>
          <t>C. Material Micropilotaje</t>
        </is>
      </c>
      <c r="G179" s="18" t="inlineStr">
        <is>
          <t>(Sin Subgrupo)</t>
        </is>
      </c>
      <c r="H179" s="18" t="inlineStr">
        <is>
          <t>CEMENTO BLANCO X KG - UND</t>
        </is>
      </c>
      <c r="I179" s="46" t="n">
        <v>270</v>
      </c>
      <c r="J179" s="47" t="n">
        <v>35500</v>
      </c>
      <c r="K179" s="47" t="n">
        <v>9585000</v>
      </c>
      <c r="L179" s="18" t="inlineStr"/>
      <c r="M179" s="47" t="n">
        <v>0</v>
      </c>
      <c r="N179" s="47">
        <f>K179+M179</f>
        <v/>
      </c>
      <c r="O179" s="18" t="inlineStr">
        <is>
          <t>JULIO CESAR DEAVILA MARTINEZ</t>
        </is>
      </c>
      <c r="P179" s="18" t="inlineStr">
        <is>
          <t>ANDREA PATRICIA LASSO (FERROPAISA)</t>
        </is>
      </c>
      <c r="Q179" s="18" t="inlineStr">
        <is>
          <t>URGENCIA</t>
        </is>
      </c>
      <c r="R179" s="18" t="inlineStr">
        <is>
          <t>MINI GRANJAS</t>
        </is>
      </c>
      <c r="S179" s="18" t="inlineStr">
        <is>
          <t>0516</t>
        </is>
      </c>
      <c r="T179" s="18" t="inlineStr">
        <is>
          <t>Obra civil (concreto, agregados)</t>
        </is>
      </c>
    </row>
    <row r="180">
      <c r="A180" s="42" t="n">
        <v>46072.37548611111</v>
      </c>
      <c r="B180" s="16" t="n">
        <v>2001</v>
      </c>
      <c r="C180" s="16" t="n">
        <v>1556</v>
      </c>
      <c r="D180" s="16" t="inlineStr">
        <is>
          <t>CERRADA</t>
        </is>
      </c>
      <c r="E180" s="16" t="inlineStr">
        <is>
          <t>PAGADA</t>
        </is>
      </c>
      <c r="F180" s="16" t="inlineStr">
        <is>
          <t>Cajas De Paso</t>
        </is>
      </c>
      <c r="G180" s="16" t="inlineStr">
        <is>
          <t>(Sin Subgrupo)</t>
        </is>
      </c>
      <c r="H180" s="16" t="inlineStr">
        <is>
          <t>SUMINISTRO DE TAPAS METALICAS DE 1.10m X1.10m PARA CAJA DE INSPECCION EN LAMINA ALFAJOR 2.5mm Y ANGULO DE ½ - UND</t>
        </is>
      </c>
      <c r="I180" s="43" t="n">
        <v>3</v>
      </c>
      <c r="J180" s="44" t="n">
        <v>165000</v>
      </c>
      <c r="K180" s="44" t="n">
        <v>495000</v>
      </c>
      <c r="L180" s="16" t="inlineStr"/>
      <c r="M180" s="44" t="n">
        <v>0</v>
      </c>
      <c r="N180" s="44">
        <f>K180+M180</f>
        <v/>
      </c>
      <c r="O180" s="16" t="inlineStr">
        <is>
          <t>JULIO CESAR DEAVILA MARTINEZ</t>
        </is>
      </c>
      <c r="P180" s="16" t="inlineStr">
        <is>
          <t>HUMBERTO JAVIER ROSERO POTOSI</t>
        </is>
      </c>
      <c r="Q180" s="16" t="inlineStr">
        <is>
          <t>PLANEADA</t>
        </is>
      </c>
      <c r="R180" s="16" t="inlineStr">
        <is>
          <t>MINI GRANJAS</t>
        </is>
      </c>
      <c r="S180" s="16" t="inlineStr">
        <is>
          <t>COT 2616</t>
        </is>
      </c>
      <c r="T180" s="16" t="inlineStr">
        <is>
          <t>RETIE / Legalización / Medición</t>
        </is>
      </c>
    </row>
    <row r="181">
      <c r="A181" s="45" t="n">
        <v>46072.37548611111</v>
      </c>
      <c r="B181" s="18" t="n">
        <v>2001</v>
      </c>
      <c r="C181" s="18" t="n">
        <v>1556</v>
      </c>
      <c r="D181" s="18" t="inlineStr">
        <is>
          <t>CERRADA</t>
        </is>
      </c>
      <c r="E181" s="18" t="inlineStr">
        <is>
          <t>PAGADA</t>
        </is>
      </c>
      <c r="F181" s="18" t="inlineStr">
        <is>
          <t>Cajas De Paso</t>
        </is>
      </c>
      <c r="G181" s="18" t="inlineStr">
        <is>
          <t>(Sin Subgrupo)</t>
        </is>
      </c>
      <c r="H181" s="18" t="inlineStr">
        <is>
          <t>SUMINISTRO DE TAPAS METÁLICAS DE 1.40X1.40 MTS EN LÁMINA ALFAJOR DE 2.5MM - UND</t>
        </is>
      </c>
      <c r="I181" s="46" t="n">
        <v>5</v>
      </c>
      <c r="J181" s="47" t="n">
        <v>185000</v>
      </c>
      <c r="K181" s="47" t="n">
        <v>925000</v>
      </c>
      <c r="L181" s="18" t="inlineStr"/>
      <c r="M181" s="47" t="n">
        <v>0</v>
      </c>
      <c r="N181" s="47">
        <f>K181+M181</f>
        <v/>
      </c>
      <c r="O181" s="18" t="inlineStr">
        <is>
          <t>JULIO CESAR DEAVILA MARTINEZ</t>
        </is>
      </c>
      <c r="P181" s="18" t="inlineStr">
        <is>
          <t>HUMBERTO JAVIER ROSERO POTOSI</t>
        </is>
      </c>
      <c r="Q181" s="18" t="inlineStr">
        <is>
          <t>PLANEADA</t>
        </is>
      </c>
      <c r="R181" s="18" t="inlineStr">
        <is>
          <t>MINI GRANJAS</t>
        </is>
      </c>
      <c r="S181" s="18" t="inlineStr">
        <is>
          <t>COT 2616</t>
        </is>
      </c>
      <c r="T181" s="18" t="inlineStr">
        <is>
          <t>Cajas de paso y accesorios</t>
        </is>
      </c>
    </row>
    <row r="182">
      <c r="A182" s="42" t="n">
        <v>46072.37548611111</v>
      </c>
      <c r="B182" s="16" t="n">
        <v>2001</v>
      </c>
      <c r="C182" s="16" t="n">
        <v>1556</v>
      </c>
      <c r="D182" s="16" t="inlineStr">
        <is>
          <t>CERRADA</t>
        </is>
      </c>
      <c r="E182" s="16" t="inlineStr">
        <is>
          <t>PAGADA</t>
        </is>
      </c>
      <c r="F182" s="16" t="inlineStr">
        <is>
          <t>Cajas De Paso</t>
        </is>
      </c>
      <c r="G182" s="16" t="inlineStr">
        <is>
          <t>(Sin Subgrupo)</t>
        </is>
      </c>
      <c r="H182" s="16" t="inlineStr">
        <is>
          <t>SUMINISTRO DE TAPAS METÁLICAS DE PARA CAJA DE INSPECCIÓN EN LÁMINA ALFAJOR DE 2.5 MM, ÁNGULO DE 1 ½ X 3/16", PINTURA ANTICORROSIVA Y ESMALTE. DIMENSIONES: ANCHO: 1.5M Y LARGO: 1.7M - UND</t>
        </is>
      </c>
      <c r="I182" s="43" t="n">
        <v>1</v>
      </c>
      <c r="J182" s="44" t="n">
        <v>198000</v>
      </c>
      <c r="K182" s="44" t="n">
        <v>198000</v>
      </c>
      <c r="L182" s="16" t="inlineStr"/>
      <c r="M182" s="44" t="n">
        <v>0</v>
      </c>
      <c r="N182" s="44">
        <f>K182+M182</f>
        <v/>
      </c>
      <c r="O182" s="16" t="inlineStr">
        <is>
          <t>JULIO CESAR DEAVILA MARTINEZ</t>
        </is>
      </c>
      <c r="P182" s="16" t="inlineStr">
        <is>
          <t>HUMBERTO JAVIER ROSERO POTOSI</t>
        </is>
      </c>
      <c r="Q182" s="16" t="inlineStr">
        <is>
          <t>PLANEADA</t>
        </is>
      </c>
      <c r="R182" s="16" t="inlineStr">
        <is>
          <t>MINI GRANJAS</t>
        </is>
      </c>
      <c r="S182" s="16" t="inlineStr">
        <is>
          <t>COT 2616</t>
        </is>
      </c>
      <c r="T182" s="16" t="inlineStr">
        <is>
          <t>RETIE / Legalización / Medición</t>
        </is>
      </c>
    </row>
    <row r="183">
      <c r="A183" s="45" t="n">
        <v>46072.37548611111</v>
      </c>
      <c r="B183" s="18" t="n">
        <v>2001</v>
      </c>
      <c r="C183" s="18" t="n">
        <v>1556</v>
      </c>
      <c r="D183" s="18" t="inlineStr">
        <is>
          <t>CERRADA</t>
        </is>
      </c>
      <c r="E183" s="18" t="inlineStr">
        <is>
          <t>PAGADA</t>
        </is>
      </c>
      <c r="F183" s="18" t="inlineStr">
        <is>
          <t>Servicio</t>
        </is>
      </c>
      <c r="G183" s="18" t="inlineStr">
        <is>
          <t>Transportes</t>
        </is>
      </c>
      <c r="H183" s="18" t="inlineStr">
        <is>
          <t>FLETE - UND</t>
        </is>
      </c>
      <c r="I183" s="46" t="n">
        <v>1</v>
      </c>
      <c r="J183" s="47" t="n">
        <v>380000</v>
      </c>
      <c r="K183" s="47" t="n">
        <v>380000</v>
      </c>
      <c r="L183" s="18" t="inlineStr"/>
      <c r="M183" s="47" t="n">
        <v>0</v>
      </c>
      <c r="N183" s="47">
        <f>K183+M183</f>
        <v/>
      </c>
      <c r="O183" s="18" t="inlineStr">
        <is>
          <t>JULIO CESAR DEAVILA MARTINEZ</t>
        </is>
      </c>
      <c r="P183" s="18" t="inlineStr">
        <is>
          <t>HUMBERTO JAVIER ROSERO POTOSI</t>
        </is>
      </c>
      <c r="Q183" s="18" t="inlineStr">
        <is>
          <t>PLANEADA</t>
        </is>
      </c>
      <c r="R183" s="18" t="inlineStr">
        <is>
          <t>MINI GRANJAS</t>
        </is>
      </c>
      <c r="S183" s="18" t="inlineStr">
        <is>
          <t>COT 2616</t>
        </is>
      </c>
      <c r="T183" s="18" t="inlineStr">
        <is>
          <t>Fletes y transporte de carga</t>
        </is>
      </c>
    </row>
    <row r="184">
      <c r="A184" s="42" t="n">
        <v>46072.37548611111</v>
      </c>
      <c r="B184" s="16" t="n">
        <v>2001</v>
      </c>
      <c r="C184" s="16" t="n">
        <v>1556</v>
      </c>
      <c r="D184" s="16" t="inlineStr">
        <is>
          <t>CERRADA</t>
        </is>
      </c>
      <c r="E184" s="16" t="inlineStr">
        <is>
          <t>PAGADA</t>
        </is>
      </c>
      <c r="F184" s="16" t="inlineStr">
        <is>
          <t>Cajas De Paso</t>
        </is>
      </c>
      <c r="G184" s="16" t="inlineStr">
        <is>
          <t>(Sin Subgrupo)</t>
        </is>
      </c>
      <c r="H184" s="16" t="inlineStr">
        <is>
          <t>SUMINISTRO DE MARCOS METALICOS DE  1.10mX 1.10 m PARA CAJA DE INSPECCION EN  ANGULO DE ½ X 3/16, PINTURA  ANTICORROSIVA Y ESMALTE - UND</t>
        </is>
      </c>
      <c r="I184" s="43" t="n">
        <v>3</v>
      </c>
      <c r="J184" s="44" t="n">
        <v>705000</v>
      </c>
      <c r="K184" s="44" t="n">
        <v>2115000</v>
      </c>
      <c r="L184" s="16" t="inlineStr"/>
      <c r="M184" s="44" t="n">
        <v>0</v>
      </c>
      <c r="N184" s="44">
        <f>K184+M184</f>
        <v/>
      </c>
      <c r="O184" s="16" t="inlineStr">
        <is>
          <t>JULIO CESAR DEAVILA MARTINEZ</t>
        </is>
      </c>
      <c r="P184" s="16" t="inlineStr">
        <is>
          <t>HUMBERTO JAVIER ROSERO POTOSI</t>
        </is>
      </c>
      <c r="Q184" s="16" t="inlineStr">
        <is>
          <t>PLANEADA</t>
        </is>
      </c>
      <c r="R184" s="16" t="inlineStr">
        <is>
          <t>MINI GRANJAS</t>
        </is>
      </c>
      <c r="S184" s="16" t="inlineStr">
        <is>
          <t>COT 2616</t>
        </is>
      </c>
      <c r="T184" s="16" t="inlineStr">
        <is>
          <t>RETIE / Legalización / Medición</t>
        </is>
      </c>
    </row>
    <row r="185">
      <c r="A185" s="45" t="n">
        <v>46072.37548611111</v>
      </c>
      <c r="B185" s="18" t="n">
        <v>2001</v>
      </c>
      <c r="C185" s="18" t="n">
        <v>1556</v>
      </c>
      <c r="D185" s="18" t="inlineStr">
        <is>
          <t>CERRADA</t>
        </is>
      </c>
      <c r="E185" s="18" t="inlineStr">
        <is>
          <t>PAGADA</t>
        </is>
      </c>
      <c r="F185" s="18" t="inlineStr">
        <is>
          <t>Cajas De Paso</t>
        </is>
      </c>
      <c r="G185" s="18" t="inlineStr">
        <is>
          <t>(Sin Subgrupo)</t>
        </is>
      </c>
      <c r="H185" s="18" t="inlineStr">
        <is>
          <t>SUMINISTRO DE MARCOS METÁLICOS DE 1.40X1.40 MTS EN ANGULO DE 1 1/2X3/16" - UND</t>
        </is>
      </c>
      <c r="I185" s="46" t="n">
        <v>5</v>
      </c>
      <c r="J185" s="47" t="n">
        <v>892000</v>
      </c>
      <c r="K185" s="47" t="n">
        <v>4460000</v>
      </c>
      <c r="L185" s="18" t="inlineStr"/>
      <c r="M185" s="47" t="n">
        <v>0</v>
      </c>
      <c r="N185" s="47">
        <f>K185+M185</f>
        <v/>
      </c>
      <c r="O185" s="18" t="inlineStr">
        <is>
          <t>JULIO CESAR DEAVILA MARTINEZ</t>
        </is>
      </c>
      <c r="P185" s="18" t="inlineStr">
        <is>
          <t>HUMBERTO JAVIER ROSERO POTOSI</t>
        </is>
      </c>
      <c r="Q185" s="18" t="inlineStr">
        <is>
          <t>PLANEADA</t>
        </is>
      </c>
      <c r="R185" s="18" t="inlineStr">
        <is>
          <t>MINI GRANJAS</t>
        </is>
      </c>
      <c r="S185" s="18" t="inlineStr">
        <is>
          <t>COT 2616</t>
        </is>
      </c>
      <c r="T185" s="18" t="inlineStr">
        <is>
          <t>Estructura y soportería solar</t>
        </is>
      </c>
    </row>
    <row r="186">
      <c r="A186" s="42" t="n">
        <v>46072.37548611111</v>
      </c>
      <c r="B186" s="16" t="n">
        <v>2001</v>
      </c>
      <c r="C186" s="16" t="n">
        <v>1556</v>
      </c>
      <c r="D186" s="16" t="inlineStr">
        <is>
          <t>CERRADA</t>
        </is>
      </c>
      <c r="E186" s="16" t="inlineStr">
        <is>
          <t>PAGADA</t>
        </is>
      </c>
      <c r="F186" s="16" t="inlineStr">
        <is>
          <t>Cajas De Paso</t>
        </is>
      </c>
      <c r="G186" s="16" t="inlineStr">
        <is>
          <t>(Sin Subgrupo)</t>
        </is>
      </c>
      <c r="H186" s="16" t="inlineStr">
        <is>
          <t>SUMINISTRO DE MARCOS METÁLICOS PARA CAJA DE INSPECCIÓN , PINTURA ANTICORROSIVA Y ESMALTE COLOR NEGRO, GROSOR: ÁNGULO 1 1/2X3/16" CON DIMENSIONES: ANCHO: 1.5 M Y LARGO: 1.7 M - UND</t>
        </is>
      </c>
      <c r="I186" s="43" t="n">
        <v>1</v>
      </c>
      <c r="J186" s="44" t="n">
        <v>915000</v>
      </c>
      <c r="K186" s="44" t="n">
        <v>915000</v>
      </c>
      <c r="L186" s="16" t="inlineStr"/>
      <c r="M186" s="44" t="n">
        <v>0</v>
      </c>
      <c r="N186" s="44">
        <f>K186+M186</f>
        <v/>
      </c>
      <c r="O186" s="16" t="inlineStr">
        <is>
          <t>JULIO CESAR DEAVILA MARTINEZ</t>
        </is>
      </c>
      <c r="P186" s="16" t="inlineStr">
        <is>
          <t>HUMBERTO JAVIER ROSERO POTOSI</t>
        </is>
      </c>
      <c r="Q186" s="16" t="inlineStr">
        <is>
          <t>PLANEADA</t>
        </is>
      </c>
      <c r="R186" s="16" t="inlineStr">
        <is>
          <t>MINI GRANJAS</t>
        </is>
      </c>
      <c r="S186" s="16" t="inlineStr">
        <is>
          <t>COT 2616</t>
        </is>
      </c>
      <c r="T186" s="16" t="inlineStr">
        <is>
          <t>RETIE / Legalización / Medición</t>
        </is>
      </c>
    </row>
    <row r="187">
      <c r="A187" s="45" t="n">
        <v>46072.36328703703</v>
      </c>
      <c r="B187" s="18" t="n">
        <v>1995</v>
      </c>
      <c r="C187" s="18" t="n">
        <v>1537</v>
      </c>
      <c r="D187" s="18" t="inlineStr">
        <is>
          <t>CERRADA</t>
        </is>
      </c>
      <c r="E187" s="18" t="inlineStr">
        <is>
          <t>PAGADA</t>
        </is>
      </c>
      <c r="F187" s="18" t="inlineStr">
        <is>
          <t>Set (Civil) Suministro</t>
        </is>
      </c>
      <c r="G187" s="18" t="inlineStr">
        <is>
          <t>Set (Civil) Servicio</t>
        </is>
      </c>
      <c r="H187" s="18" t="inlineStr">
        <is>
          <t>PINTURA TRAFICO GRIS (S-59)  GL PINTULAND - UND</t>
        </is>
      </c>
      <c r="I187" s="46" t="n">
        <v>3</v>
      </c>
      <c r="J187" s="47" t="n">
        <v>115000</v>
      </c>
      <c r="K187" s="47" t="n">
        <v>345000</v>
      </c>
      <c r="L187" s="18" t="inlineStr"/>
      <c r="M187" s="47" t="n">
        <v>0</v>
      </c>
      <c r="N187" s="47">
        <f>K187+M187</f>
        <v/>
      </c>
      <c r="O187" s="18" t="inlineStr">
        <is>
          <t>JULIO CESAR DEAVILA MARTINEZ</t>
        </is>
      </c>
      <c r="P187" s="18" t="inlineStr">
        <is>
          <t>ALEXANDER ANGULO BURBANO</t>
        </is>
      </c>
      <c r="Q187" s="18" t="inlineStr">
        <is>
          <t>PLANEADA</t>
        </is>
      </c>
      <c r="R187" s="18" t="inlineStr">
        <is>
          <t>MINI GRANJAS</t>
        </is>
      </c>
      <c r="S187" s="18" t="inlineStr">
        <is>
          <t>COT 130</t>
        </is>
      </c>
      <c r="T187" s="18" t="inlineStr">
        <is>
          <t>Impermeabilización y acabados</t>
        </is>
      </c>
    </row>
    <row r="188">
      <c r="A188" s="42" t="n">
        <v>46072.35523148148</v>
      </c>
      <c r="B188" s="16" t="n">
        <v>1993</v>
      </c>
      <c r="C188" s="16" t="n">
        <v>1495</v>
      </c>
      <c r="D188" s="16" t="inlineStr">
        <is>
          <t>CERRADA</t>
        </is>
      </c>
      <c r="E188" s="16" t="inlineStr">
        <is>
          <t>PAGADA</t>
        </is>
      </c>
      <c r="F188" s="16" t="inlineStr">
        <is>
          <t>Set (Civil) Suministro</t>
        </is>
      </c>
      <c r="G188" s="16" t="inlineStr">
        <is>
          <t>Set (Civil) Servicio</t>
        </is>
      </c>
      <c r="H188" s="16" t="inlineStr">
        <is>
          <t>ESTUCO ACRILICO EXTERIOR  - UND</t>
        </is>
      </c>
      <c r="I188" s="43" t="n">
        <v>6</v>
      </c>
      <c r="J188" s="44" t="n">
        <v>58386.56</v>
      </c>
      <c r="K188" s="44" t="n">
        <v>350319.36</v>
      </c>
      <c r="L188" s="16" t="inlineStr">
        <is>
          <t>IVA 19%</t>
        </is>
      </c>
      <c r="M188" s="44" t="n">
        <v>66561</v>
      </c>
      <c r="N188" s="44">
        <f>K188+M188</f>
        <v/>
      </c>
      <c r="O188" s="16" t="inlineStr">
        <is>
          <t>JULIO CESAR DEAVILA MARTINEZ</t>
        </is>
      </c>
      <c r="P188" s="16" t="inlineStr">
        <is>
          <t>MELBA LIGIA MONCAYO DE RAMOS</t>
        </is>
      </c>
      <c r="Q188" s="16" t="inlineStr">
        <is>
          <t>PLANEADA</t>
        </is>
      </c>
      <c r="R188" s="16" t="inlineStr">
        <is>
          <t>MINI GRANJAS</t>
        </is>
      </c>
      <c r="S188" s="16" t="inlineStr">
        <is>
          <t>COT1-6565</t>
        </is>
      </c>
      <c r="T188" s="16" t="inlineStr">
        <is>
          <t>Impermeabilización y acabados</t>
        </is>
      </c>
    </row>
    <row r="189">
      <c r="A189" s="45" t="n">
        <v>46072.35523148148</v>
      </c>
      <c r="B189" s="18" t="n">
        <v>1993</v>
      </c>
      <c r="C189" s="18" t="n">
        <v>1495</v>
      </c>
      <c r="D189" s="18" t="inlineStr">
        <is>
          <t>CERRADA</t>
        </is>
      </c>
      <c r="E189" s="18" t="inlineStr">
        <is>
          <t>PAGADA</t>
        </is>
      </c>
      <c r="F189" s="18" t="inlineStr">
        <is>
          <t>Set (Civil) Suministro</t>
        </is>
      </c>
      <c r="G189" s="18" t="inlineStr">
        <is>
          <t>Set (Civil) Servicio</t>
        </is>
      </c>
      <c r="H189" s="18" t="inlineStr">
        <is>
          <t>ESTUCO OBRAS X 25KG - UND</t>
        </is>
      </c>
      <c r="I189" s="46" t="n">
        <v>6</v>
      </c>
      <c r="J189" s="47" t="n">
        <v>95798.32000000001</v>
      </c>
      <c r="K189" s="47" t="n">
        <v>574789.92</v>
      </c>
      <c r="L189" s="18" t="inlineStr">
        <is>
          <t>IVA 19%</t>
        </is>
      </c>
      <c r="M189" s="47" t="n">
        <v>109210</v>
      </c>
      <c r="N189" s="47">
        <f>K189+M189</f>
        <v/>
      </c>
      <c r="O189" s="18" t="inlineStr">
        <is>
          <t>JULIO CESAR DEAVILA MARTINEZ</t>
        </is>
      </c>
      <c r="P189" s="18" t="inlineStr">
        <is>
          <t>MELBA LIGIA MONCAYO DE RAMOS</t>
        </is>
      </c>
      <c r="Q189" s="18" t="inlineStr">
        <is>
          <t>PLANEADA</t>
        </is>
      </c>
      <c r="R189" s="18" t="inlineStr">
        <is>
          <t>MINI GRANJAS</t>
        </is>
      </c>
      <c r="S189" s="18" t="inlineStr">
        <is>
          <t>COT1-6565</t>
        </is>
      </c>
      <c r="T189" s="18" t="inlineStr">
        <is>
          <t>Impermeabilización y acabados</t>
        </is>
      </c>
    </row>
    <row r="190">
      <c r="A190" s="42" t="n">
        <v>46071.46591435185</v>
      </c>
      <c r="B190" s="16" t="n">
        <v>1973</v>
      </c>
      <c r="C190" s="16" t="n">
        <v>1510</v>
      </c>
      <c r="D190" s="16" t="inlineStr">
        <is>
          <t>CERRADA</t>
        </is>
      </c>
      <c r="E190" s="16" t="inlineStr">
        <is>
          <t>PAGADA</t>
        </is>
      </c>
      <c r="F190" s="16" t="inlineStr">
        <is>
          <t>Set (Electrico) Suministro</t>
        </is>
      </c>
      <c r="G190" s="16" t="inlineStr">
        <is>
          <t>(Sin Subgrupo)</t>
        </is>
      </c>
      <c r="H190" s="16" t="inlineStr">
        <is>
          <t>CABLE AL 2 AWG  X METRO - UND</t>
        </is>
      </c>
      <c r="I190" s="43" t="n">
        <v>100</v>
      </c>
      <c r="J190" s="44" t="n">
        <v>3204.9</v>
      </c>
      <c r="K190" s="44" t="n">
        <v>320490</v>
      </c>
      <c r="L190" s="16" t="inlineStr">
        <is>
          <t>IVA 19%</t>
        </is>
      </c>
      <c r="M190" s="44" t="n">
        <v>60893</v>
      </c>
      <c r="N190" s="44">
        <f>K190+M190</f>
        <v/>
      </c>
      <c r="O190" s="16" t="inlineStr">
        <is>
          <t>JULIO CESAR DEAVILA MARTINEZ</t>
        </is>
      </c>
      <c r="P190" s="16" t="inlineStr">
        <is>
          <t>ELECTRICOS DEL VALLE SAS</t>
        </is>
      </c>
      <c r="Q190" s="16" t="inlineStr">
        <is>
          <t>URGENCIA</t>
        </is>
      </c>
      <c r="R190" s="16" t="inlineStr">
        <is>
          <t>MINI GRANJAS</t>
        </is>
      </c>
      <c r="S190" s="16" t="inlineStr">
        <is>
          <t>EPE22107</t>
        </is>
      </c>
      <c r="T190" s="16" t="inlineStr">
        <is>
          <t>Cableado y conductores</t>
        </is>
      </c>
    </row>
    <row r="191">
      <c r="A191" s="45" t="n">
        <v>46071.34505787037</v>
      </c>
      <c r="B191" s="18" t="n">
        <v>1948</v>
      </c>
      <c r="C191" s="18" t="n">
        <v>1483</v>
      </c>
      <c r="D191" s="18" t="inlineStr">
        <is>
          <t>CERRADA</t>
        </is>
      </c>
      <c r="E191" s="18" t="inlineStr">
        <is>
          <t>PAGADA</t>
        </is>
      </c>
      <c r="F191" s="18" t="inlineStr">
        <is>
          <t>Servicio</t>
        </is>
      </c>
      <c r="G191" s="18" t="inlineStr">
        <is>
          <t>Baños Portátiles</t>
        </is>
      </c>
      <c r="H191" s="18" t="inlineStr">
        <is>
          <t>ALQUILER DE LAVAMANOS PORTATIL - UND</t>
        </is>
      </c>
      <c r="I191" s="46" t="n">
        <v>1</v>
      </c>
      <c r="J191" s="47" t="n">
        <v>40000</v>
      </c>
      <c r="K191" s="47" t="n">
        <v>40000</v>
      </c>
      <c r="L191" s="18" t="inlineStr"/>
      <c r="M191" s="47" t="n">
        <v>0</v>
      </c>
      <c r="N191" s="47">
        <f>K191+M191</f>
        <v/>
      </c>
      <c r="O191" s="18" t="inlineStr">
        <is>
          <t>JULIO CESAR DEAVILA MARTINEZ</t>
        </is>
      </c>
      <c r="P191" s="18" t="inlineStr">
        <is>
          <t>HOOVER ANTONIO GUACHAVES LASSO</t>
        </is>
      </c>
      <c r="Q191" s="18" t="inlineStr">
        <is>
          <t>PLANEADA</t>
        </is>
      </c>
      <c r="R191" s="18" t="inlineStr">
        <is>
          <t>MINI GRANJAS</t>
        </is>
      </c>
      <c r="S191" s="18" t="inlineStr">
        <is>
          <t>CUENTA DE COBRO 7</t>
        </is>
      </c>
      <c r="T191" s="18" t="inlineStr">
        <is>
          <t>Baños y sanitarios portátiles</t>
        </is>
      </c>
    </row>
    <row r="192">
      <c r="A192" s="42" t="n">
        <v>46071.34505787037</v>
      </c>
      <c r="B192" s="16" t="n">
        <v>1948</v>
      </c>
      <c r="C192" s="16" t="n">
        <v>1483</v>
      </c>
      <c r="D192" s="16" t="inlineStr">
        <is>
          <t>CERRADA</t>
        </is>
      </c>
      <c r="E192" s="16" t="inlineStr">
        <is>
          <t>PAGADA</t>
        </is>
      </c>
      <c r="F192" s="16" t="inlineStr">
        <is>
          <t>Servicio</t>
        </is>
      </c>
      <c r="G192" s="16" t="inlineStr">
        <is>
          <t>Baños Portátiles</t>
        </is>
      </c>
      <c r="H192" s="16" t="inlineStr">
        <is>
          <t>ALQUILER DE BAÑO PORTATIL - UND</t>
        </is>
      </c>
      <c r="I192" s="43" t="n">
        <v>1</v>
      </c>
      <c r="J192" s="44" t="n">
        <v>1681600</v>
      </c>
      <c r="K192" s="44" t="n">
        <v>1681600</v>
      </c>
      <c r="L192" s="16" t="inlineStr"/>
      <c r="M192" s="44" t="n">
        <v>0</v>
      </c>
      <c r="N192" s="44">
        <f>K192+M192</f>
        <v/>
      </c>
      <c r="O192" s="16" t="inlineStr">
        <is>
          <t>JULIO CESAR DEAVILA MARTINEZ</t>
        </is>
      </c>
      <c r="P192" s="16" t="inlineStr">
        <is>
          <t>HOOVER ANTONIO GUACHAVES LASSO</t>
        </is>
      </c>
      <c r="Q192" s="16" t="inlineStr">
        <is>
          <t>PLANEADA</t>
        </is>
      </c>
      <c r="R192" s="16" t="inlineStr">
        <is>
          <t>MINI GRANJAS</t>
        </is>
      </c>
      <c r="S192" s="16" t="inlineStr">
        <is>
          <t>CUENTA DE COBRO 7</t>
        </is>
      </c>
      <c r="T192" s="16" t="inlineStr">
        <is>
          <t>Baños y sanitarios portátiles</t>
        </is>
      </c>
    </row>
    <row r="193">
      <c r="A193" s="45" t="n">
        <v>46066.4724537037</v>
      </c>
      <c r="B193" s="18" t="n">
        <v>1919</v>
      </c>
      <c r="C193" s="18" t="n">
        <v>1469</v>
      </c>
      <c r="D193" s="18" t="inlineStr">
        <is>
          <t>CERRADA</t>
        </is>
      </c>
      <c r="E193" s="18" t="inlineStr">
        <is>
          <t>PAGADA</t>
        </is>
      </c>
      <c r="F193" s="18" t="inlineStr">
        <is>
          <t>Servicio</t>
        </is>
      </c>
      <c r="G193" s="18" t="inlineStr">
        <is>
          <t>Logística Viáticos</t>
        </is>
      </c>
      <c r="H193" s="18" t="inlineStr">
        <is>
          <t>SERVICIO DE RESTAURANTE - UND</t>
        </is>
      </c>
      <c r="I193" s="46" t="n">
        <v>76</v>
      </c>
      <c r="J193" s="47" t="n">
        <v>10363</v>
      </c>
      <c r="K193" s="47" t="n">
        <v>787588</v>
      </c>
      <c r="L193" s="18" t="inlineStr"/>
      <c r="M193" s="47" t="n">
        <v>0</v>
      </c>
      <c r="N193" s="47">
        <f>K193+M193</f>
        <v/>
      </c>
      <c r="O193" s="18" t="inlineStr">
        <is>
          <t>JULIO CESAR DEAVILA MARTINEZ</t>
        </is>
      </c>
      <c r="P193" s="18" t="inlineStr">
        <is>
          <t>MAYERLINE TOBAR GOMEZ</t>
        </is>
      </c>
      <c r="Q193" s="18" t="inlineStr">
        <is>
          <t>PLANEADA</t>
        </is>
      </c>
      <c r="R193" s="18" t="inlineStr">
        <is>
          <t>MINI GRANJAS</t>
        </is>
      </c>
      <c r="S193" s="18" t="inlineStr">
        <is>
          <t>FE1488</t>
        </is>
      </c>
      <c r="T193" s="18" t="inlineStr">
        <is>
          <t>Viáticos - Alimentación</t>
        </is>
      </c>
    </row>
    <row r="194">
      <c r="A194" s="42" t="n">
        <v>46066.4724537037</v>
      </c>
      <c r="B194" s="16" t="n">
        <v>1919</v>
      </c>
      <c r="C194" s="16" t="n">
        <v>1469</v>
      </c>
      <c r="D194" s="16" t="inlineStr">
        <is>
          <t>CERRADA</t>
        </is>
      </c>
      <c r="E194" s="16" t="inlineStr">
        <is>
          <t>PAGADA</t>
        </is>
      </c>
      <c r="F194" s="16" t="inlineStr">
        <is>
          <t>Servicio</t>
        </is>
      </c>
      <c r="G194" s="16" t="inlineStr">
        <is>
          <t>Logística Viáticos</t>
        </is>
      </c>
      <c r="H194" s="16" t="inlineStr">
        <is>
          <t>SERVICIO DE RESTAURANTE - UND</t>
        </is>
      </c>
      <c r="I194" s="43" t="n">
        <v>72</v>
      </c>
      <c r="J194" s="44" t="n">
        <v>12435</v>
      </c>
      <c r="K194" s="44" t="n">
        <v>895320</v>
      </c>
      <c r="L194" s="16" t="inlineStr"/>
      <c r="M194" s="44" t="n">
        <v>0</v>
      </c>
      <c r="N194" s="44">
        <f>K194+M194</f>
        <v/>
      </c>
      <c r="O194" s="16" t="inlineStr">
        <is>
          <t>JULIO CESAR DEAVILA MARTINEZ</t>
        </is>
      </c>
      <c r="P194" s="16" t="inlineStr">
        <is>
          <t>MAYERLINE TOBAR GOMEZ</t>
        </is>
      </c>
      <c r="Q194" s="16" t="inlineStr">
        <is>
          <t>PLANEADA</t>
        </is>
      </c>
      <c r="R194" s="16" t="inlineStr">
        <is>
          <t>MINI GRANJAS</t>
        </is>
      </c>
      <c r="S194" s="16" t="inlineStr">
        <is>
          <t>FE1488</t>
        </is>
      </c>
      <c r="T194" s="16" t="inlineStr">
        <is>
          <t>Viáticos - Alimentación</t>
        </is>
      </c>
    </row>
    <row r="195">
      <c r="A195" s="45" t="n">
        <v>46066.4724537037</v>
      </c>
      <c r="B195" s="18" t="n">
        <v>1919</v>
      </c>
      <c r="C195" s="18" t="n">
        <v>1469</v>
      </c>
      <c r="D195" s="18" t="inlineStr">
        <is>
          <t>CERRADA</t>
        </is>
      </c>
      <c r="E195" s="18" t="inlineStr">
        <is>
          <t>PAGADA</t>
        </is>
      </c>
      <c r="F195" s="18" t="inlineStr">
        <is>
          <t>Servicio</t>
        </is>
      </c>
      <c r="G195" s="18" t="inlineStr">
        <is>
          <t>Logística Viáticos</t>
        </is>
      </c>
      <c r="H195" s="18" t="inlineStr">
        <is>
          <t>SERVICIO DE COMEDOR / RESTAURANTE - UND</t>
        </is>
      </c>
      <c r="I195" s="46" t="n">
        <v>72</v>
      </c>
      <c r="J195" s="47" t="n">
        <v>12435.2</v>
      </c>
      <c r="K195" s="47" t="n">
        <v>895334.4</v>
      </c>
      <c r="L195" s="18" t="inlineStr"/>
      <c r="M195" s="47" t="n">
        <v>0</v>
      </c>
      <c r="N195" s="47">
        <f>K195+M195</f>
        <v/>
      </c>
      <c r="O195" s="18" t="inlineStr">
        <is>
          <t>JULIO CESAR DEAVILA MARTINEZ</t>
        </is>
      </c>
      <c r="P195" s="18" t="inlineStr">
        <is>
          <t>MAYERLINE TOBAR GOMEZ</t>
        </is>
      </c>
      <c r="Q195" s="18" t="inlineStr">
        <is>
          <t>PLANEADA</t>
        </is>
      </c>
      <c r="R195" s="18" t="inlineStr">
        <is>
          <t>MINI GRANJAS</t>
        </is>
      </c>
      <c r="S195" s="18" t="inlineStr">
        <is>
          <t>FE1488</t>
        </is>
      </c>
      <c r="T195" s="18" t="inlineStr">
        <is>
          <t>Viáticos - Alimentación</t>
        </is>
      </c>
    </row>
    <row r="196">
      <c r="A196" s="42" t="n">
        <v>46066.471875</v>
      </c>
      <c r="B196" s="16" t="n">
        <v>1917</v>
      </c>
      <c r="C196" s="16" t="n">
        <v>1471</v>
      </c>
      <c r="D196" s="16" t="inlineStr">
        <is>
          <t>CERRADA</t>
        </is>
      </c>
      <c r="E196" s="16" t="inlineStr">
        <is>
          <t>PAGADA</t>
        </is>
      </c>
      <c r="F196" s="16" t="inlineStr">
        <is>
          <t>Servicio</t>
        </is>
      </c>
      <c r="G196" s="16" t="inlineStr">
        <is>
          <t>Logística Viáticos</t>
        </is>
      </c>
      <c r="H196" s="16" t="inlineStr">
        <is>
          <t>SERVICIO DE HOTEL - UND</t>
        </is>
      </c>
      <c r="I196" s="43" t="n">
        <v>1</v>
      </c>
      <c r="J196" s="44" t="n">
        <v>518134.72</v>
      </c>
      <c r="K196" s="44" t="n">
        <v>518134.72</v>
      </c>
      <c r="L196" s="16" t="inlineStr"/>
      <c r="M196" s="44" t="n">
        <v>0</v>
      </c>
      <c r="N196" s="44">
        <f>K196+M196</f>
        <v/>
      </c>
      <c r="O196" s="16" t="inlineStr">
        <is>
          <t>JULIO CESAR DEAVILA MARTINEZ</t>
        </is>
      </c>
      <c r="P196" s="16" t="inlineStr">
        <is>
          <t>MAYERLINE TOBAR GOMEZ</t>
        </is>
      </c>
      <c r="Q196" s="16" t="inlineStr">
        <is>
          <t>PLANEADA</t>
        </is>
      </c>
      <c r="R196" s="16" t="inlineStr">
        <is>
          <t>MINI GRANJAS</t>
        </is>
      </c>
      <c r="S196" s="16" t="inlineStr">
        <is>
          <t>FE1481</t>
        </is>
      </c>
      <c r="T196" s="16" t="inlineStr">
        <is>
          <t>Viáticos - Hospedaje</t>
        </is>
      </c>
    </row>
    <row r="197">
      <c r="A197" s="45" t="n">
        <v>46066.471875</v>
      </c>
      <c r="B197" s="18" t="n">
        <v>1917</v>
      </c>
      <c r="C197" s="18" t="n">
        <v>1471</v>
      </c>
      <c r="D197" s="18" t="inlineStr">
        <is>
          <t>CERRADA</t>
        </is>
      </c>
      <c r="E197" s="18" t="inlineStr">
        <is>
          <t>PAGADA</t>
        </is>
      </c>
      <c r="F197" s="18" t="inlineStr">
        <is>
          <t>Servicio</t>
        </is>
      </c>
      <c r="G197" s="18" t="inlineStr">
        <is>
          <t>Logística Viáticos</t>
        </is>
      </c>
      <c r="H197" s="18" t="inlineStr">
        <is>
          <t>SERVICIO DE HOTEL - UND</t>
        </is>
      </c>
      <c r="I197" s="46" t="n">
        <v>2</v>
      </c>
      <c r="J197" s="47" t="n">
        <v>621761.66</v>
      </c>
      <c r="K197" s="47" t="n">
        <v>1243523.32</v>
      </c>
      <c r="L197" s="18" t="inlineStr"/>
      <c r="M197" s="47" t="n">
        <v>0</v>
      </c>
      <c r="N197" s="47">
        <f>K197+M197</f>
        <v/>
      </c>
      <c r="O197" s="18" t="inlineStr">
        <is>
          <t>JULIO CESAR DEAVILA MARTINEZ</t>
        </is>
      </c>
      <c r="P197" s="18" t="inlineStr">
        <is>
          <t>MAYERLINE TOBAR GOMEZ</t>
        </is>
      </c>
      <c r="Q197" s="18" t="inlineStr">
        <is>
          <t>PLANEADA</t>
        </is>
      </c>
      <c r="R197" s="18" t="inlineStr">
        <is>
          <t>MINI GRANJAS</t>
        </is>
      </c>
      <c r="S197" s="18" t="inlineStr">
        <is>
          <t>FE1481</t>
        </is>
      </c>
      <c r="T197" s="18" t="inlineStr">
        <is>
          <t>Viáticos - Hospedaje</t>
        </is>
      </c>
    </row>
    <row r="198">
      <c r="A198" s="42" t="n">
        <v>46065.58952546296</v>
      </c>
      <c r="B198" s="16" t="n">
        <v>1903</v>
      </c>
      <c r="C198" s="16" t="n">
        <v>1460</v>
      </c>
      <c r="D198" s="16" t="inlineStr">
        <is>
          <t>CERRADA</t>
        </is>
      </c>
      <c r="E198" s="16" t="inlineStr">
        <is>
          <t>PAGADA</t>
        </is>
      </c>
      <c r="F198" s="16" t="inlineStr">
        <is>
          <t>Set (Electrico) Suministro</t>
        </is>
      </c>
      <c r="G198" s="16" t="inlineStr">
        <is>
          <t>Set (Electrico)Servicio</t>
        </is>
      </c>
      <c r="H198" s="16" t="inlineStr">
        <is>
          <t>SUMINISTRO DE SOPORTES INVERSORES INTERNOS EN TUBO DE 3X1 1/2" CAL. 16 - UND</t>
        </is>
      </c>
      <c r="I198" s="43" t="n">
        <v>2</v>
      </c>
      <c r="J198" s="44" t="n">
        <v>770000</v>
      </c>
      <c r="K198" s="44" t="n">
        <v>1540000</v>
      </c>
      <c r="L198" s="16" t="inlineStr"/>
      <c r="M198" s="44" t="n">
        <v>0</v>
      </c>
      <c r="N198" s="44">
        <f>K198+M198</f>
        <v/>
      </c>
      <c r="O198" s="16" t="inlineStr">
        <is>
          <t>JULIO CESAR DEAVILA MARTINEZ</t>
        </is>
      </c>
      <c r="P198" s="16" t="inlineStr">
        <is>
          <t>HUMBERTO JAVIER ROSERO POTOSI</t>
        </is>
      </c>
      <c r="Q198" s="16" t="inlineStr">
        <is>
          <t>PLANEADA</t>
        </is>
      </c>
      <c r="R198" s="16" t="inlineStr">
        <is>
          <t>MINI GRANJAS</t>
        </is>
      </c>
      <c r="S198" s="16" t="inlineStr">
        <is>
          <t>COT 2613</t>
        </is>
      </c>
      <c r="T198" s="16" t="inlineStr">
        <is>
          <t>Inversores</t>
        </is>
      </c>
    </row>
    <row r="199">
      <c r="A199" s="45" t="n">
        <v>46065.58952546296</v>
      </c>
      <c r="B199" s="18" t="n">
        <v>1903</v>
      </c>
      <c r="C199" s="18" t="n">
        <v>1460</v>
      </c>
      <c r="D199" s="18" t="inlineStr">
        <is>
          <t>CERRADA</t>
        </is>
      </c>
      <c r="E199" s="18" t="inlineStr">
        <is>
          <t>PAGADA</t>
        </is>
      </c>
      <c r="F199" s="18" t="inlineStr">
        <is>
          <t>Servicio</t>
        </is>
      </c>
      <c r="G199" s="18" t="inlineStr">
        <is>
          <t>Transportes</t>
        </is>
      </c>
      <c r="H199" s="18" t="inlineStr">
        <is>
          <t>FLETE - UND</t>
        </is>
      </c>
      <c r="I199" s="46" t="n">
        <v>1</v>
      </c>
      <c r="J199" s="47" t="n">
        <v>1350000</v>
      </c>
      <c r="K199" s="47" t="n">
        <v>1350000</v>
      </c>
      <c r="L199" s="18" t="inlineStr"/>
      <c r="M199" s="47" t="n">
        <v>0</v>
      </c>
      <c r="N199" s="47">
        <f>K199+M199</f>
        <v/>
      </c>
      <c r="O199" s="18" t="inlineStr">
        <is>
          <t>JULIO CESAR DEAVILA MARTINEZ</t>
        </is>
      </c>
      <c r="P199" s="18" t="inlineStr">
        <is>
          <t>HUMBERTO JAVIER ROSERO POTOSI</t>
        </is>
      </c>
      <c r="Q199" s="18" t="inlineStr">
        <is>
          <t>PLANEADA</t>
        </is>
      </c>
      <c r="R199" s="18" t="inlineStr">
        <is>
          <t>MINI GRANJAS</t>
        </is>
      </c>
      <c r="S199" s="18" t="inlineStr">
        <is>
          <t>COT 2613</t>
        </is>
      </c>
      <c r="T199" s="18" t="inlineStr">
        <is>
          <t>Fletes y transporte de carga</t>
        </is>
      </c>
    </row>
    <row r="200">
      <c r="A200" s="42" t="n">
        <v>46065.58952546296</v>
      </c>
      <c r="B200" s="16" t="n">
        <v>1903</v>
      </c>
      <c r="C200" s="16" t="n">
        <v>1460</v>
      </c>
      <c r="D200" s="16" t="inlineStr">
        <is>
          <t>CERRADA</t>
        </is>
      </c>
      <c r="E200" s="16" t="inlineStr">
        <is>
          <t>PAGADA</t>
        </is>
      </c>
      <c r="F200" s="16" t="inlineStr">
        <is>
          <t>Set (Electrico) Suministro</t>
        </is>
      </c>
      <c r="G200" s="16" t="inlineStr">
        <is>
          <t>Set (Electrico)Servicio</t>
        </is>
      </c>
      <c r="H200" s="16" t="inlineStr">
        <is>
          <t>SUMINISTRO DE SOPORTES INVERSORES EXTERNOS EN TUBO DE 100X100-1.5MM - UND</t>
        </is>
      </c>
      <c r="I200" s="43" t="n">
        <v>2</v>
      </c>
      <c r="J200" s="44" t="n">
        <v>1600000</v>
      </c>
      <c r="K200" s="44" t="n">
        <v>3200000</v>
      </c>
      <c r="L200" s="16" t="inlineStr"/>
      <c r="M200" s="44" t="n">
        <v>0</v>
      </c>
      <c r="N200" s="44">
        <f>K200+M200</f>
        <v/>
      </c>
      <c r="O200" s="16" t="inlineStr">
        <is>
          <t>JULIO CESAR DEAVILA MARTINEZ</t>
        </is>
      </c>
      <c r="P200" s="16" t="inlineStr">
        <is>
          <t>HUMBERTO JAVIER ROSERO POTOSI</t>
        </is>
      </c>
      <c r="Q200" s="16" t="inlineStr">
        <is>
          <t>PLANEADA</t>
        </is>
      </c>
      <c r="R200" s="16" t="inlineStr">
        <is>
          <t>MINI GRANJAS</t>
        </is>
      </c>
      <c r="S200" s="16" t="inlineStr">
        <is>
          <t>COT 2613</t>
        </is>
      </c>
      <c r="T200" s="16" t="inlineStr">
        <is>
          <t>Inversores</t>
        </is>
      </c>
    </row>
    <row r="201">
      <c r="A201" s="45" t="n">
        <v>46065.58952546296</v>
      </c>
      <c r="B201" s="18" t="n">
        <v>1903</v>
      </c>
      <c r="C201" s="18" t="n">
        <v>1460</v>
      </c>
      <c r="D201" s="18" t="inlineStr">
        <is>
          <t>CERRADA</t>
        </is>
      </c>
      <c r="E201" s="18" t="inlineStr">
        <is>
          <t>PAGADA</t>
        </is>
      </c>
      <c r="F201" s="18" t="inlineStr">
        <is>
          <t>Set (Civil) Suministro</t>
        </is>
      </c>
      <c r="G201" s="18" t="inlineStr">
        <is>
          <t>Set (Civil) Servicio</t>
        </is>
      </c>
      <c r="H201" s="18" t="inlineStr">
        <is>
          <t>SUMINISTRO DE PORTON METALICO DE 2 MT x 2.40 MT EN LAMINA GALVANIZADA CALIBRE 20 EN 2 HOJAS Y CON CHAPA ANTIPANICO.  - UND</t>
        </is>
      </c>
      <c r="I201" s="46" t="n">
        <v>1</v>
      </c>
      <c r="J201" s="47" t="n">
        <v>2260000</v>
      </c>
      <c r="K201" s="47" t="n">
        <v>2260000</v>
      </c>
      <c r="L201" s="18" t="inlineStr"/>
      <c r="M201" s="47" t="n">
        <v>0</v>
      </c>
      <c r="N201" s="47">
        <f>K201+M201</f>
        <v/>
      </c>
      <c r="O201" s="18" t="inlineStr">
        <is>
          <t>JULIO CESAR DEAVILA MARTINEZ</t>
        </is>
      </c>
      <c r="P201" s="18" t="inlineStr">
        <is>
          <t>HUMBERTO JAVIER ROSERO POTOSI</t>
        </is>
      </c>
      <c r="Q201" s="18" t="inlineStr">
        <is>
          <t>PLANEADA</t>
        </is>
      </c>
      <c r="R201" s="18" t="inlineStr">
        <is>
          <t>MINI GRANJAS</t>
        </is>
      </c>
      <c r="S201" s="18" t="inlineStr">
        <is>
          <t>COT 2613</t>
        </is>
      </c>
      <c r="T201" s="18" t="inlineStr">
        <is>
          <t>Cerramiento perimetral</t>
        </is>
      </c>
    </row>
    <row r="202">
      <c r="A202" s="42" t="n">
        <v>46065.58952546296</v>
      </c>
      <c r="B202" s="16" t="n">
        <v>1903</v>
      </c>
      <c r="C202" s="16" t="n">
        <v>1460</v>
      </c>
      <c r="D202" s="16" t="inlineStr">
        <is>
          <t>CERRADA</t>
        </is>
      </c>
      <c r="E202" s="16" t="inlineStr">
        <is>
          <t>PAGADA</t>
        </is>
      </c>
      <c r="F202" s="16" t="inlineStr">
        <is>
          <t>Set (Civil) Suministro</t>
        </is>
      </c>
      <c r="G202" s="16" t="inlineStr">
        <is>
          <t>Set (Civil) Servicio</t>
        </is>
      </c>
      <c r="H202" s="16" t="inlineStr">
        <is>
          <t>SUMINISTRO DE PORTON METALICO  MEDIDAS DE 2.38 MT x 2.40 MT. EN  LAMINA GALVANIZADA CALIBRE 20, EN  DOS HOJAS Y CON CHAPA  ANTIPANICO.  - UND</t>
        </is>
      </c>
      <c r="I202" s="43" t="n">
        <v>1</v>
      </c>
      <c r="J202" s="44" t="n">
        <v>2350000</v>
      </c>
      <c r="K202" s="44" t="n">
        <v>2350000</v>
      </c>
      <c r="L202" s="16" t="inlineStr"/>
      <c r="M202" s="44" t="n">
        <v>0</v>
      </c>
      <c r="N202" s="44">
        <f>K202+M202</f>
        <v/>
      </c>
      <c r="O202" s="16" t="inlineStr">
        <is>
          <t>JULIO CESAR DEAVILA MARTINEZ</t>
        </is>
      </c>
      <c r="P202" s="16" t="inlineStr">
        <is>
          <t>HUMBERTO JAVIER ROSERO POTOSI</t>
        </is>
      </c>
      <c r="Q202" s="16" t="inlineStr">
        <is>
          <t>PLANEADA</t>
        </is>
      </c>
      <c r="R202" s="16" t="inlineStr">
        <is>
          <t>MINI GRANJAS</t>
        </is>
      </c>
      <c r="S202" s="16" t="inlineStr">
        <is>
          <t>COT 2613</t>
        </is>
      </c>
      <c r="T202" s="16" t="inlineStr">
        <is>
          <t>Cerramiento perimetral</t>
        </is>
      </c>
    </row>
    <row r="203">
      <c r="A203" s="45" t="n">
        <v>46062.71221064815</v>
      </c>
      <c r="B203" s="18" t="n">
        <v>1855</v>
      </c>
      <c r="C203" s="18" t="n">
        <v>1395</v>
      </c>
      <c r="D203" s="18" t="inlineStr">
        <is>
          <t>CERRADA</t>
        </is>
      </c>
      <c r="E203" s="18" t="inlineStr">
        <is>
          <t>PAGADA</t>
        </is>
      </c>
      <c r="F203" s="18" t="inlineStr">
        <is>
          <t>Servicio</t>
        </is>
      </c>
      <c r="G203" s="18" t="inlineStr">
        <is>
          <t>Logística Viáticos</t>
        </is>
      </c>
      <c r="H203" s="18" t="inlineStr">
        <is>
          <t>SERVICIO DE RESTAURANTE - UND</t>
        </is>
      </c>
      <c r="I203" s="46" t="n">
        <v>33</v>
      </c>
      <c r="J203" s="47" t="n">
        <v>10363</v>
      </c>
      <c r="K203" s="47" t="n">
        <v>341979</v>
      </c>
      <c r="L203" s="18" t="inlineStr"/>
      <c r="M203" s="47" t="n">
        <v>0</v>
      </c>
      <c r="N203" s="47">
        <f>K203+M203</f>
        <v/>
      </c>
      <c r="O203" s="18" t="inlineStr">
        <is>
          <t>JULIO CESAR DEAVILA MARTINEZ</t>
        </is>
      </c>
      <c r="P203" s="18" t="inlineStr">
        <is>
          <t>MAYERLINE TOBAR GOMEZ</t>
        </is>
      </c>
      <c r="Q203" s="18" t="inlineStr">
        <is>
          <t>PLANEADA</t>
        </is>
      </c>
      <c r="R203" s="18" t="inlineStr">
        <is>
          <t>MINI GRANJAS</t>
        </is>
      </c>
      <c r="S203" s="18" t="inlineStr">
        <is>
          <t>FE1467</t>
        </is>
      </c>
      <c r="T203" s="18" t="inlineStr">
        <is>
          <t>Viáticos - Alimentación</t>
        </is>
      </c>
    </row>
    <row r="204">
      <c r="A204" s="42" t="n">
        <v>46062.71221064815</v>
      </c>
      <c r="B204" s="16" t="n">
        <v>1855</v>
      </c>
      <c r="C204" s="16" t="n">
        <v>1395</v>
      </c>
      <c r="D204" s="16" t="inlineStr">
        <is>
          <t>CERRADA</t>
        </is>
      </c>
      <c r="E204" s="16" t="inlineStr">
        <is>
          <t>PAGADA</t>
        </is>
      </c>
      <c r="F204" s="16" t="inlineStr">
        <is>
          <t>Servicio</t>
        </is>
      </c>
      <c r="G204" s="16" t="inlineStr">
        <is>
          <t>Logística Viáticos</t>
        </is>
      </c>
      <c r="H204" s="16" t="inlineStr">
        <is>
          <t>SERVICIO DE COMEDOR / RESTAURANTE - UND</t>
        </is>
      </c>
      <c r="I204" s="43" t="n">
        <v>34</v>
      </c>
      <c r="J204" s="44" t="n">
        <v>12435</v>
      </c>
      <c r="K204" s="44" t="n">
        <v>422790</v>
      </c>
      <c r="L204" s="16" t="inlineStr"/>
      <c r="M204" s="44" t="n">
        <v>0</v>
      </c>
      <c r="N204" s="44">
        <f>K204+M204</f>
        <v/>
      </c>
      <c r="O204" s="16" t="inlineStr">
        <is>
          <t>JULIO CESAR DEAVILA MARTINEZ</t>
        </is>
      </c>
      <c r="P204" s="16" t="inlineStr">
        <is>
          <t>MAYERLINE TOBAR GOMEZ</t>
        </is>
      </c>
      <c r="Q204" s="16" t="inlineStr">
        <is>
          <t>PLANEADA</t>
        </is>
      </c>
      <c r="R204" s="16" t="inlineStr">
        <is>
          <t>MINI GRANJAS</t>
        </is>
      </c>
      <c r="S204" s="16" t="inlineStr">
        <is>
          <t>FE1467</t>
        </is>
      </c>
      <c r="T204" s="16" t="inlineStr">
        <is>
          <t>Viáticos - Alimentación</t>
        </is>
      </c>
    </row>
    <row r="205">
      <c r="A205" s="45" t="n">
        <v>46062.71221064815</v>
      </c>
      <c r="B205" s="18" t="n">
        <v>1855</v>
      </c>
      <c r="C205" s="18" t="n">
        <v>1395</v>
      </c>
      <c r="D205" s="18" t="inlineStr">
        <is>
          <t>CERRADA</t>
        </is>
      </c>
      <c r="E205" s="18" t="inlineStr">
        <is>
          <t>PAGADA</t>
        </is>
      </c>
      <c r="F205" s="18" t="inlineStr">
        <is>
          <t>Servicio</t>
        </is>
      </c>
      <c r="G205" s="18" t="inlineStr">
        <is>
          <t>Logística Viáticos</t>
        </is>
      </c>
      <c r="H205" s="18" t="inlineStr">
        <is>
          <t>SERVICIO DE RESTAURANTE - UND</t>
        </is>
      </c>
      <c r="I205" s="46" t="n">
        <v>37</v>
      </c>
      <c r="J205" s="47" t="n">
        <v>12435</v>
      </c>
      <c r="K205" s="47" t="n">
        <v>460095</v>
      </c>
      <c r="L205" s="18" t="inlineStr"/>
      <c r="M205" s="47" t="n">
        <v>0</v>
      </c>
      <c r="N205" s="47">
        <f>K205+M205</f>
        <v/>
      </c>
      <c r="O205" s="18" t="inlineStr">
        <is>
          <t>JULIO CESAR DEAVILA MARTINEZ</t>
        </is>
      </c>
      <c r="P205" s="18" t="inlineStr">
        <is>
          <t>MAYERLINE TOBAR GOMEZ</t>
        </is>
      </c>
      <c r="Q205" s="18" t="inlineStr">
        <is>
          <t>PLANEADA</t>
        </is>
      </c>
      <c r="R205" s="18" t="inlineStr">
        <is>
          <t>MINI GRANJAS</t>
        </is>
      </c>
      <c r="S205" s="18" t="inlineStr">
        <is>
          <t>FE1467</t>
        </is>
      </c>
      <c r="T205" s="18" t="inlineStr">
        <is>
          <t>Viáticos - Alimentación</t>
        </is>
      </c>
    </row>
    <row r="206">
      <c r="A206" s="42" t="n">
        <v>46059.45091435185</v>
      </c>
      <c r="B206" s="16" t="n">
        <v>1843</v>
      </c>
      <c r="C206" s="16" t="n">
        <v>1433</v>
      </c>
      <c r="D206" s="16" t="inlineStr">
        <is>
          <t>CERRADA</t>
        </is>
      </c>
      <c r="E206" s="16" t="inlineStr">
        <is>
          <t>PAGADA</t>
        </is>
      </c>
      <c r="F206" s="16" t="inlineStr">
        <is>
          <t>Servicio</t>
        </is>
      </c>
      <c r="G206" s="16" t="inlineStr">
        <is>
          <t>(Sin Subgrupo)</t>
        </is>
      </c>
      <c r="H206" s="16" t="inlineStr">
        <is>
          <t>EXAMEN MEDICO DE INGRESO - UND</t>
        </is>
      </c>
      <c r="I206" s="43" t="n">
        <v>9</v>
      </c>
      <c r="J206" s="44" t="n">
        <v>32000</v>
      </c>
      <c r="K206" s="44" t="n">
        <v>288000</v>
      </c>
      <c r="L206" s="16" t="inlineStr"/>
      <c r="M206" s="44" t="n">
        <v>0</v>
      </c>
      <c r="N206" s="44">
        <f>K206+M206</f>
        <v/>
      </c>
      <c r="O206" s="16" t="inlineStr">
        <is>
          <t>JULIO CESAR DEAVILA MARTINEZ</t>
        </is>
      </c>
      <c r="P206" s="16" t="inlineStr">
        <is>
          <t>IPS BIENESTAR LABORAL SAS</t>
        </is>
      </c>
      <c r="Q206" s="16" t="inlineStr">
        <is>
          <t>URGENCIA</t>
        </is>
      </c>
      <c r="R206" s="16" t="inlineStr">
        <is>
          <t>ADMINISTRATIVO</t>
        </is>
      </c>
      <c r="S206" s="16" t="inlineStr">
        <is>
          <t>3935</t>
        </is>
      </c>
      <c r="T206" s="16" t="inlineStr">
        <is>
          <t>SST y exámenes médicos</t>
        </is>
      </c>
    </row>
    <row r="207">
      <c r="A207" s="45" t="n">
        <v>46058.6147337963</v>
      </c>
      <c r="B207" s="18" t="n">
        <v>1824</v>
      </c>
      <c r="C207" s="18" t="n">
        <v>1449</v>
      </c>
      <c r="D207" s="18" t="inlineStr">
        <is>
          <t>CERRADA</t>
        </is>
      </c>
      <c r="E207" s="18" t="inlineStr">
        <is>
          <t>PAGADA</t>
        </is>
      </c>
      <c r="F207" s="18" t="inlineStr">
        <is>
          <t>Servicio</t>
        </is>
      </c>
      <c r="G207" s="18" t="inlineStr">
        <is>
          <t>Preparativos Previos Inicio De Obras</t>
        </is>
      </c>
      <c r="H207" s="18" t="inlineStr">
        <is>
          <t>TRANSPORTE Y REMOCIÓN DE MATERIAL  - UND</t>
        </is>
      </c>
      <c r="I207" s="46" t="n">
        <v>1</v>
      </c>
      <c r="J207" s="47" t="n">
        <v>18946000</v>
      </c>
      <c r="K207" s="47" t="n">
        <v>18946000</v>
      </c>
      <c r="L207" s="18" t="inlineStr"/>
      <c r="M207" s="47" t="n">
        <v>0</v>
      </c>
      <c r="N207" s="47">
        <f>K207+M207</f>
        <v/>
      </c>
      <c r="O207" s="18" t="inlineStr">
        <is>
          <t>JULIO CESAR DEAVILA MARTINEZ</t>
        </is>
      </c>
      <c r="P207" s="18" t="inlineStr">
        <is>
          <t>FAINCO SAS</t>
        </is>
      </c>
      <c r="Q207" s="18" t="inlineStr">
        <is>
          <t>PLANEADA</t>
        </is>
      </c>
      <c r="R207" s="18" t="inlineStr">
        <is>
          <t>MINI GRANJAS</t>
        </is>
      </c>
      <c r="S207" s="18" t="inlineStr">
        <is>
          <t>FE-537</t>
        </is>
      </c>
      <c r="T207" s="18" t="inlineStr">
        <is>
          <t>Servicios de obra e ingeniería</t>
        </is>
      </c>
    </row>
    <row r="208">
      <c r="A208" s="42" t="n">
        <v>46056.39541666667</v>
      </c>
      <c r="B208" s="16" t="n">
        <v>1797</v>
      </c>
      <c r="C208" s="16" t="n">
        <v>1400</v>
      </c>
      <c r="D208" s="16" t="inlineStr">
        <is>
          <t>CERRADA</t>
        </is>
      </c>
      <c r="E208" s="16" t="inlineStr">
        <is>
          <t>PAGADA</t>
        </is>
      </c>
      <c r="F208" s="16" t="inlineStr">
        <is>
          <t>C. Material Micropilotaje</t>
        </is>
      </c>
      <c r="G208" s="16" t="inlineStr">
        <is>
          <t>(Sin Subgrupo)</t>
        </is>
      </c>
      <c r="H208" s="16" t="inlineStr">
        <is>
          <t>ARENA DE RIO METRO CUBICO - UND</t>
        </is>
      </c>
      <c r="I208" s="43" t="n">
        <v>21</v>
      </c>
      <c r="J208" s="44" t="n">
        <v>90000</v>
      </c>
      <c r="K208" s="44" t="n">
        <v>1890000</v>
      </c>
      <c r="L208" s="16" t="inlineStr"/>
      <c r="M208" s="44" t="n">
        <v>0</v>
      </c>
      <c r="N208" s="44">
        <f>K208+M208</f>
        <v/>
      </c>
      <c r="O208" s="16" t="inlineStr">
        <is>
          <t>JULIO CESAR DEAVILA MARTINEZ</t>
        </is>
      </c>
      <c r="P208" s="16" t="inlineStr">
        <is>
          <t>CAMPO HELMER PORTILLO PORTILLA</t>
        </is>
      </c>
      <c r="Q208" s="16" t="inlineStr">
        <is>
          <t>URGENCIA</t>
        </is>
      </c>
      <c r="R208" s="16" t="inlineStr">
        <is>
          <t>MINI GRANJAS</t>
        </is>
      </c>
      <c r="S208" s="16" t="inlineStr">
        <is>
          <t>COTIZACION  0192</t>
        </is>
      </c>
      <c r="T208" s="16" t="inlineStr">
        <is>
          <t>Obra civil (concreto, agregados)</t>
        </is>
      </c>
    </row>
    <row r="209">
      <c r="A209" s="45" t="n">
        <v>46056.39541666667</v>
      </c>
      <c r="B209" s="18" t="n">
        <v>1797</v>
      </c>
      <c r="C209" s="18" t="n">
        <v>1400</v>
      </c>
      <c r="D209" s="18" t="inlineStr">
        <is>
          <t>CERRADA</t>
        </is>
      </c>
      <c r="E209" s="18" t="inlineStr">
        <is>
          <t>PAGADA</t>
        </is>
      </c>
      <c r="F209" s="18" t="inlineStr">
        <is>
          <t>C. Material Micropilotaje</t>
        </is>
      </c>
      <c r="G209" s="18" t="inlineStr">
        <is>
          <t>(Sin Subgrupo)</t>
        </is>
      </c>
      <c r="H209" s="18" t="inlineStr">
        <is>
          <t>TRITURADO 3/4 - M3</t>
        </is>
      </c>
      <c r="I209" s="46" t="n">
        <v>49</v>
      </c>
      <c r="J209" s="47" t="n">
        <v>164000</v>
      </c>
      <c r="K209" s="47" t="n">
        <v>8036000</v>
      </c>
      <c r="L209" s="18" t="inlineStr"/>
      <c r="M209" s="47" t="n">
        <v>0</v>
      </c>
      <c r="N209" s="47">
        <f>K209+M209</f>
        <v/>
      </c>
      <c r="O209" s="18" t="inlineStr">
        <is>
          <t>JULIO CESAR DEAVILA MARTINEZ</t>
        </is>
      </c>
      <c r="P209" s="18" t="inlineStr">
        <is>
          <t>CAMPO HELMER PORTILLO PORTILLA</t>
        </is>
      </c>
      <c r="Q209" s="18" t="inlineStr">
        <is>
          <t>URGENCIA</t>
        </is>
      </c>
      <c r="R209" s="18" t="inlineStr">
        <is>
          <t>MINI GRANJAS</t>
        </is>
      </c>
      <c r="S209" s="18" t="inlineStr">
        <is>
          <t>COTIZACION  0192</t>
        </is>
      </c>
      <c r="T209" s="18" t="inlineStr">
        <is>
          <t>Obra civil (concreto, agregados)</t>
        </is>
      </c>
    </row>
    <row r="210">
      <c r="A210" s="42" t="n">
        <v>46049.66523148148</v>
      </c>
      <c r="B210" s="16" t="n">
        <v>1751</v>
      </c>
      <c r="C210" s="16" t="n">
        <v>1350</v>
      </c>
      <c r="D210" s="16" t="inlineStr">
        <is>
          <t>CERRADA</t>
        </is>
      </c>
      <c r="E210" s="16" t="inlineStr">
        <is>
          <t>PAGADA</t>
        </is>
      </c>
      <c r="F210" s="16" t="inlineStr">
        <is>
          <t>Servicio</t>
        </is>
      </c>
      <c r="G210" s="16" t="inlineStr">
        <is>
          <t>Transportes</t>
        </is>
      </c>
      <c r="H210" s="16" t="inlineStr">
        <is>
          <t>SERVICIO DE TRANSPORTE - UND</t>
        </is>
      </c>
      <c r="I210" s="43" t="n">
        <v>1</v>
      </c>
      <c r="J210" s="44" t="n">
        <v>2150000</v>
      </c>
      <c r="K210" s="44" t="n">
        <v>2150000</v>
      </c>
      <c r="L210" s="16" t="inlineStr"/>
      <c r="M210" s="44" t="n">
        <v>0</v>
      </c>
      <c r="N210" s="44">
        <f>K210+M210</f>
        <v/>
      </c>
      <c r="O210" s="16" t="inlineStr">
        <is>
          <t>JULIO CESAR DEAVILA MARTINEZ</t>
        </is>
      </c>
      <c r="P210" s="16" t="inlineStr">
        <is>
          <t>HUMBERTO JAVIER ROSERO POTOSI</t>
        </is>
      </c>
      <c r="Q210" s="16" t="inlineStr">
        <is>
          <t>PLANEADA</t>
        </is>
      </c>
      <c r="R210" s="16" t="inlineStr">
        <is>
          <t>MINI GRANJAS</t>
        </is>
      </c>
      <c r="S210" s="16" t="inlineStr">
        <is>
          <t>COT 2603</t>
        </is>
      </c>
      <c r="T210" s="16" t="inlineStr">
        <is>
          <t>Viáticos - Transporte</t>
        </is>
      </c>
    </row>
    <row r="211">
      <c r="A211" s="45" t="n">
        <v>46049.66523148148</v>
      </c>
      <c r="B211" s="18" t="n">
        <v>1751</v>
      </c>
      <c r="C211" s="18" t="n">
        <v>1350</v>
      </c>
      <c r="D211" s="18" t="inlineStr">
        <is>
          <t>CERRADA</t>
        </is>
      </c>
      <c r="E211" s="18" t="inlineStr">
        <is>
          <t>PAGADA</t>
        </is>
      </c>
      <c r="F211" s="18" t="inlineStr">
        <is>
          <t>Set (Civil) Suministro</t>
        </is>
      </c>
      <c r="G211" s="18" t="inlineStr">
        <is>
          <t>Set (Civil) Servicio</t>
        </is>
      </c>
      <c r="H211" s="18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211" s="46" t="n">
        <v>1</v>
      </c>
      <c r="J211" s="47" t="n">
        <v>17240000</v>
      </c>
      <c r="K211" s="47" t="n">
        <v>17240000</v>
      </c>
      <c r="L211" s="18" t="inlineStr"/>
      <c r="M211" s="47" t="n">
        <v>0</v>
      </c>
      <c r="N211" s="47">
        <f>K211+M211</f>
        <v/>
      </c>
      <c r="O211" s="18" t="inlineStr">
        <is>
          <t>JULIO CESAR DEAVILA MARTINEZ</t>
        </is>
      </c>
      <c r="P211" s="18" t="inlineStr">
        <is>
          <t>HUMBERTO JAVIER ROSERO POTOSI</t>
        </is>
      </c>
      <c r="Q211" s="18" t="inlineStr">
        <is>
          <t>PLANEADA</t>
        </is>
      </c>
      <c r="R211" s="18" t="inlineStr">
        <is>
          <t>MINI GRANJAS</t>
        </is>
      </c>
      <c r="S211" s="18" t="inlineStr">
        <is>
          <t>COT 2603</t>
        </is>
      </c>
      <c r="T211" s="18" t="inlineStr">
        <is>
          <t>Estructura y soportería solar</t>
        </is>
      </c>
    </row>
    <row r="212">
      <c r="A212" s="42" t="n">
        <v>46049.66440972222</v>
      </c>
      <c r="B212" s="16" t="n">
        <v>1749</v>
      </c>
      <c r="C212" s="16" t="n">
        <v>1348</v>
      </c>
      <c r="D212" s="16" t="inlineStr">
        <is>
          <t>CERRADA</t>
        </is>
      </c>
      <c r="E212" s="16" t="inlineStr">
        <is>
          <t>PAGADA</t>
        </is>
      </c>
      <c r="F212" s="16" t="inlineStr">
        <is>
          <t>Set (Civil) Suministro</t>
        </is>
      </c>
      <c r="G212" s="16" t="inlineStr">
        <is>
          <t>Set (Civil) Servicio</t>
        </is>
      </c>
      <c r="H212" s="16" t="inlineStr">
        <is>
          <t>SUB BASE GRANULAR X M3 - M3</t>
        </is>
      </c>
      <c r="I212" s="43" t="n">
        <v>14</v>
      </c>
      <c r="J212" s="44" t="n">
        <v>98000</v>
      </c>
      <c r="K212" s="44" t="n">
        <v>1372000</v>
      </c>
      <c r="L212" s="16" t="inlineStr"/>
      <c r="M212" s="44" t="n">
        <v>0</v>
      </c>
      <c r="N212" s="44">
        <f>K212+M212</f>
        <v/>
      </c>
      <c r="O212" s="16" t="inlineStr">
        <is>
          <t>JULIO CESAR DEAVILA MARTINEZ</t>
        </is>
      </c>
      <c r="P212" s="16" t="inlineStr">
        <is>
          <t>CAMPO HELMER PORTILLO PORTILLA</t>
        </is>
      </c>
      <c r="Q212" s="16" t="inlineStr">
        <is>
          <t>PLANEADA</t>
        </is>
      </c>
      <c r="R212" s="16" t="inlineStr">
        <is>
          <t>MINI GRANJAS</t>
        </is>
      </c>
      <c r="S212" s="16" t="inlineStr">
        <is>
          <t>COT 0184</t>
        </is>
      </c>
      <c r="T212" s="16" t="inlineStr">
        <is>
          <t>Obra civil (concreto, agregados)</t>
        </is>
      </c>
    </row>
    <row r="213">
      <c r="A213" s="45" t="n">
        <v>46049.66400462963</v>
      </c>
      <c r="B213" s="18" t="n">
        <v>1748</v>
      </c>
      <c r="C213" s="18" t="n">
        <v>1341</v>
      </c>
      <c r="D213" s="18" t="inlineStr">
        <is>
          <t>CERRADA</t>
        </is>
      </c>
      <c r="E213" s="18" t="inlineStr">
        <is>
          <t>PAGADA</t>
        </is>
      </c>
      <c r="F213" s="18" t="inlineStr">
        <is>
          <t>Servicio</t>
        </is>
      </c>
      <c r="G213" s="18" t="inlineStr">
        <is>
          <t>Logística Viáticos</t>
        </is>
      </c>
      <c r="H213" s="18" t="inlineStr">
        <is>
          <t>SERVICIO DE COMEDOR / RESTAURANTE - UND</t>
        </is>
      </c>
      <c r="I213" s="46" t="n">
        <v>55</v>
      </c>
      <c r="J213" s="47" t="n">
        <v>10362.69</v>
      </c>
      <c r="K213" s="47" t="n">
        <v>569947.95</v>
      </c>
      <c r="L213" s="18" t="inlineStr"/>
      <c r="M213" s="47" t="n">
        <v>0</v>
      </c>
      <c r="N213" s="47">
        <f>K213+M213</f>
        <v/>
      </c>
      <c r="O213" s="18" t="inlineStr">
        <is>
          <t>JULIO CESAR DEAVILA MARTINEZ</t>
        </is>
      </c>
      <c r="P213" s="18" t="inlineStr">
        <is>
          <t>MAYERLINE TOBAR GOMEZ</t>
        </is>
      </c>
      <c r="Q213" s="18" t="inlineStr">
        <is>
          <t>PLANEADA</t>
        </is>
      </c>
      <c r="R213" s="18" t="inlineStr">
        <is>
          <t>MINI GRANJAS</t>
        </is>
      </c>
      <c r="S213" s="18" t="inlineStr">
        <is>
          <t>FE1448</t>
        </is>
      </c>
      <c r="T213" s="18" t="inlineStr">
        <is>
          <t>Viáticos - Alimentación</t>
        </is>
      </c>
    </row>
    <row r="214">
      <c r="A214" s="42" t="n">
        <v>46049.66400462963</v>
      </c>
      <c r="B214" s="16" t="n">
        <v>1748</v>
      </c>
      <c r="C214" s="16" t="n">
        <v>1341</v>
      </c>
      <c r="D214" s="16" t="inlineStr">
        <is>
          <t>CERRADA</t>
        </is>
      </c>
      <c r="E214" s="16" t="inlineStr">
        <is>
          <t>PAGADA</t>
        </is>
      </c>
      <c r="F214" s="16" t="inlineStr">
        <is>
          <t>Servicio</t>
        </is>
      </c>
      <c r="G214" s="16" t="inlineStr">
        <is>
          <t>Logística Viáticos</t>
        </is>
      </c>
      <c r="H214" s="16" t="inlineStr">
        <is>
          <t>SERVICIO DE RESTAURANTE - UND</t>
        </is>
      </c>
      <c r="I214" s="43" t="n">
        <v>50</v>
      </c>
      <c r="J214" s="44" t="n">
        <v>12435.23</v>
      </c>
      <c r="K214" s="44" t="n">
        <v>621761.5</v>
      </c>
      <c r="L214" s="16" t="inlineStr"/>
      <c r="M214" s="44" t="n">
        <v>0</v>
      </c>
      <c r="N214" s="44">
        <f>K214+M214</f>
        <v/>
      </c>
      <c r="O214" s="16" t="inlineStr">
        <is>
          <t>JULIO CESAR DEAVILA MARTINEZ</t>
        </is>
      </c>
      <c r="P214" s="16" t="inlineStr">
        <is>
          <t>MAYERLINE TOBAR GOMEZ</t>
        </is>
      </c>
      <c r="Q214" s="16" t="inlineStr">
        <is>
          <t>PLANEADA</t>
        </is>
      </c>
      <c r="R214" s="16" t="inlineStr">
        <is>
          <t>MINI GRANJAS</t>
        </is>
      </c>
      <c r="S214" s="16" t="inlineStr">
        <is>
          <t>FE1448</t>
        </is>
      </c>
      <c r="T214" s="16" t="inlineStr">
        <is>
          <t>Viáticos - Alimentación</t>
        </is>
      </c>
    </row>
    <row r="215">
      <c r="A215" s="45" t="n">
        <v>46049.66400462963</v>
      </c>
      <c r="B215" s="18" t="n">
        <v>1748</v>
      </c>
      <c r="C215" s="18" t="n">
        <v>1341</v>
      </c>
      <c r="D215" s="18" t="inlineStr">
        <is>
          <t>CERRADA</t>
        </is>
      </c>
      <c r="E215" s="18" t="inlineStr">
        <is>
          <t>PAGADA</t>
        </is>
      </c>
      <c r="F215" s="18" t="inlineStr">
        <is>
          <t>Servicio</t>
        </is>
      </c>
      <c r="G215" s="18" t="inlineStr">
        <is>
          <t>Logística Viáticos</t>
        </is>
      </c>
      <c r="H215" s="18" t="inlineStr">
        <is>
          <t>SERVICIO DE RESTAURANTE - UND</t>
        </is>
      </c>
      <c r="I215" s="46" t="n">
        <v>44</v>
      </c>
      <c r="J215" s="47" t="n">
        <v>12435.25</v>
      </c>
      <c r="K215" s="47" t="n">
        <v>547151</v>
      </c>
      <c r="L215" s="18" t="inlineStr"/>
      <c r="M215" s="47" t="n">
        <v>0</v>
      </c>
      <c r="N215" s="47">
        <f>K215+M215</f>
        <v/>
      </c>
      <c r="O215" s="18" t="inlineStr">
        <is>
          <t>JULIO CESAR DEAVILA MARTINEZ</t>
        </is>
      </c>
      <c r="P215" s="18" t="inlineStr">
        <is>
          <t>MAYERLINE TOBAR GOMEZ</t>
        </is>
      </c>
      <c r="Q215" s="18" t="inlineStr">
        <is>
          <t>PLANEADA</t>
        </is>
      </c>
      <c r="R215" s="18" t="inlineStr">
        <is>
          <t>MINI GRANJAS</t>
        </is>
      </c>
      <c r="S215" s="18" t="inlineStr">
        <is>
          <t>FE1448</t>
        </is>
      </c>
      <c r="T215" s="18" t="inlineStr">
        <is>
          <t>Viáticos - Alimentación</t>
        </is>
      </c>
    </row>
    <row r="216">
      <c r="A216" s="42" t="n">
        <v>46049.39134259259</v>
      </c>
      <c r="B216" s="16" t="n">
        <v>1735</v>
      </c>
      <c r="C216" s="16" t="n">
        <v>1340</v>
      </c>
      <c r="D216" s="16" t="inlineStr">
        <is>
          <t>CERRADA</t>
        </is>
      </c>
      <c r="E216" s="16" t="inlineStr">
        <is>
          <t>PAGADA</t>
        </is>
      </c>
      <c r="F216" s="16" t="inlineStr">
        <is>
          <t>Servicio</t>
        </is>
      </c>
      <c r="G216" s="16" t="inlineStr">
        <is>
          <t>Logística Viáticos</t>
        </is>
      </c>
      <c r="H216" s="16" t="inlineStr">
        <is>
          <t>SERVICIO DE HOTEL - UND</t>
        </is>
      </c>
      <c r="I216" s="43" t="n">
        <v>2</v>
      </c>
      <c r="J216" s="44" t="n">
        <v>518134.72</v>
      </c>
      <c r="K216" s="44" t="n">
        <v>1036269.44</v>
      </c>
      <c r="L216" s="16" t="inlineStr"/>
      <c r="M216" s="44" t="n">
        <v>0</v>
      </c>
      <c r="N216" s="44">
        <f>K216+M216</f>
        <v/>
      </c>
      <c r="O216" s="16" t="inlineStr">
        <is>
          <t>JULIO CESAR DEAVILA MARTINEZ</t>
        </is>
      </c>
      <c r="P216" s="16" t="inlineStr">
        <is>
          <t>MAYERLINE TOBAR GOMEZ</t>
        </is>
      </c>
      <c r="Q216" s="16" t="inlineStr">
        <is>
          <t>PLANEADA</t>
        </is>
      </c>
      <c r="R216" s="16" t="inlineStr">
        <is>
          <t>MINI GRANJAS</t>
        </is>
      </c>
      <c r="S216" s="16" t="inlineStr">
        <is>
          <t>FE1443</t>
        </is>
      </c>
      <c r="T216" s="16" t="inlineStr">
        <is>
          <t>Viáticos - Hospedaje</t>
        </is>
      </c>
    </row>
    <row r="217">
      <c r="A217" s="45" t="n">
        <v>46049.39134259259</v>
      </c>
      <c r="B217" s="18" t="n">
        <v>1735</v>
      </c>
      <c r="C217" s="18" t="n">
        <v>1340</v>
      </c>
      <c r="D217" s="18" t="inlineStr">
        <is>
          <t>CERRADA</t>
        </is>
      </c>
      <c r="E217" s="18" t="inlineStr">
        <is>
          <t>PAGADA</t>
        </is>
      </c>
      <c r="F217" s="18" t="inlineStr">
        <is>
          <t>Servicio</t>
        </is>
      </c>
      <c r="G217" s="18" t="inlineStr">
        <is>
          <t>Logística Viáticos</t>
        </is>
      </c>
      <c r="H217" s="18" t="inlineStr">
        <is>
          <t>SERVICIO DE HOTEL - UND</t>
        </is>
      </c>
      <c r="I217" s="46" t="n">
        <v>1</v>
      </c>
      <c r="J217" s="47" t="n">
        <v>932642.49</v>
      </c>
      <c r="K217" s="47" t="n">
        <v>932642.49</v>
      </c>
      <c r="L217" s="18" t="inlineStr"/>
      <c r="M217" s="47" t="n">
        <v>0</v>
      </c>
      <c r="N217" s="47">
        <f>K217+M217</f>
        <v/>
      </c>
      <c r="O217" s="18" t="inlineStr">
        <is>
          <t>JULIO CESAR DEAVILA MARTINEZ</t>
        </is>
      </c>
      <c r="P217" s="18" t="inlineStr">
        <is>
          <t>MAYERLINE TOBAR GOMEZ</t>
        </is>
      </c>
      <c r="Q217" s="18" t="inlineStr">
        <is>
          <t>PLANEADA</t>
        </is>
      </c>
      <c r="R217" s="18" t="inlineStr">
        <is>
          <t>MINI GRANJAS</t>
        </is>
      </c>
      <c r="S217" s="18" t="inlineStr">
        <is>
          <t>FE1443</t>
        </is>
      </c>
      <c r="T217" s="18" t="inlineStr">
        <is>
          <t>Viáticos - Hospedaje</t>
        </is>
      </c>
    </row>
    <row r="218">
      <c r="A218" s="42" t="n">
        <v>46049.38747685185</v>
      </c>
      <c r="B218" s="16" t="n">
        <v>1729</v>
      </c>
      <c r="C218" s="16" t="n">
        <v>1307</v>
      </c>
      <c r="D218" s="16" t="inlineStr">
        <is>
          <t>CERRADA</t>
        </is>
      </c>
      <c r="E218" s="16" t="inlineStr">
        <is>
          <t>PAGADA</t>
        </is>
      </c>
      <c r="F218" s="16" t="inlineStr">
        <is>
          <t>Montaje Eléctrico</t>
        </is>
      </c>
      <c r="G218" s="16" t="inlineStr">
        <is>
          <t>(Sin Subgrupo)</t>
        </is>
      </c>
      <c r="H218" s="16" t="inlineStr">
        <is>
          <t>SUMINISTRO DE PLATINAS BASE PARA SOPORTES DE INVERSORES EXTERIORES DE 0.15X0.15 MTS CAL. 1/4" - UND</t>
        </is>
      </c>
      <c r="I218" s="43" t="n">
        <v>6</v>
      </c>
      <c r="J218" s="44" t="n">
        <v>40000</v>
      </c>
      <c r="K218" s="44" t="n">
        <v>240000</v>
      </c>
      <c r="L218" s="16" t="inlineStr"/>
      <c r="M218" s="44" t="n">
        <v>0</v>
      </c>
      <c r="N218" s="44">
        <f>K218+M218</f>
        <v/>
      </c>
      <c r="O218" s="16" t="inlineStr">
        <is>
          <t>JULIO CESAR DEAVILA MARTINEZ</t>
        </is>
      </c>
      <c r="P218" s="16" t="inlineStr">
        <is>
          <t>HUMBERTO JAVIER ROSERO POTOSI</t>
        </is>
      </c>
      <c r="Q218" s="16" t="inlineStr">
        <is>
          <t>PLANEADA</t>
        </is>
      </c>
      <c r="R218" s="16" t="inlineStr">
        <is>
          <t>MINI GRANJAS</t>
        </is>
      </c>
      <c r="S218" s="16" t="inlineStr">
        <is>
          <t>COT 2566</t>
        </is>
      </c>
      <c r="T218" s="16" t="inlineStr">
        <is>
          <t>Inversores</t>
        </is>
      </c>
    </row>
    <row r="219">
      <c r="A219" s="45" t="n">
        <v>46049.38747685185</v>
      </c>
      <c r="B219" s="18" t="n">
        <v>1729</v>
      </c>
      <c r="C219" s="18" t="n">
        <v>1307</v>
      </c>
      <c r="D219" s="18" t="inlineStr">
        <is>
          <t>CERRADA</t>
        </is>
      </c>
      <c r="E219" s="18" t="inlineStr">
        <is>
          <t>PAGADA</t>
        </is>
      </c>
      <c r="F219" s="18" t="inlineStr">
        <is>
          <t>Servicio</t>
        </is>
      </c>
      <c r="G219" s="18" t="inlineStr">
        <is>
          <t>Transportes</t>
        </is>
      </c>
      <c r="H219" s="18" t="inlineStr">
        <is>
          <t>FLETE - UND</t>
        </is>
      </c>
      <c r="I219" s="46" t="n">
        <v>1</v>
      </c>
      <c r="J219" s="47" t="n">
        <v>50000</v>
      </c>
      <c r="K219" s="47" t="n">
        <v>50000</v>
      </c>
      <c r="L219" s="18" t="inlineStr"/>
      <c r="M219" s="47" t="n">
        <v>0</v>
      </c>
      <c r="N219" s="47">
        <f>K219+M219</f>
        <v/>
      </c>
      <c r="O219" s="18" t="inlineStr">
        <is>
          <t>JULIO CESAR DEAVILA MARTINEZ</t>
        </is>
      </c>
      <c r="P219" s="18" t="inlineStr">
        <is>
          <t>HUMBERTO JAVIER ROSERO POTOSI</t>
        </is>
      </c>
      <c r="Q219" s="18" t="inlineStr">
        <is>
          <t>PLANEADA</t>
        </is>
      </c>
      <c r="R219" s="18" t="inlineStr">
        <is>
          <t>MINI GRANJAS</t>
        </is>
      </c>
      <c r="S219" s="18" t="inlineStr">
        <is>
          <t>COT 2566</t>
        </is>
      </c>
      <c r="T219" s="18" t="inlineStr">
        <is>
          <t>Fletes y transporte de carga</t>
        </is>
      </c>
    </row>
    <row r="220">
      <c r="A220" s="42" t="n">
        <v>46043.43354166667</v>
      </c>
      <c r="B220" s="16" t="n">
        <v>1667</v>
      </c>
      <c r="C220" s="16" t="n">
        <v>1290</v>
      </c>
      <c r="D220" s="16" t="inlineStr">
        <is>
          <t>CERRADA</t>
        </is>
      </c>
      <c r="E220" s="16" t="inlineStr">
        <is>
          <t>PAGADA</t>
        </is>
      </c>
      <c r="F220" s="16" t="inlineStr">
        <is>
          <t>C. Material Micropilotaje</t>
        </is>
      </c>
      <c r="G220" s="16" t="inlineStr">
        <is>
          <t>(Sin Subgrupo)</t>
        </is>
      </c>
      <c r="H220" s="16" t="inlineStr">
        <is>
          <t>CEMENTO GRIS X BULTO - UND</t>
        </is>
      </c>
      <c r="I220" s="43" t="n">
        <v>700</v>
      </c>
      <c r="J220" s="44" t="n">
        <v>35000</v>
      </c>
      <c r="K220" s="44" t="n">
        <v>24500000</v>
      </c>
      <c r="L220" s="16" t="inlineStr"/>
      <c r="M220" s="44" t="n">
        <v>0</v>
      </c>
      <c r="N220" s="44">
        <f>K220+M220</f>
        <v/>
      </c>
      <c r="O220" s="16" t="inlineStr">
        <is>
          <t>JULIO CESAR DEAVILA MARTINEZ</t>
        </is>
      </c>
      <c r="P220" s="16" t="inlineStr">
        <is>
          <t>ANDREA PATRICIA LASSO (FERROPAISA)</t>
        </is>
      </c>
      <c r="Q220" s="16" t="inlineStr">
        <is>
          <t>PLANEADA</t>
        </is>
      </c>
      <c r="R220" s="16" t="inlineStr">
        <is>
          <t>MINI GRANJAS</t>
        </is>
      </c>
      <c r="S220" s="16" t="inlineStr">
        <is>
          <t>COT 228</t>
        </is>
      </c>
      <c r="T220" s="16" t="inlineStr">
        <is>
          <t>Obra civil (concreto, agregados)</t>
        </is>
      </c>
    </row>
    <row r="221">
      <c r="A221" s="45" t="n">
        <v>46021.62335648148</v>
      </c>
      <c r="B221" s="18" t="n">
        <v>1584</v>
      </c>
      <c r="C221" s="18" t="n">
        <v>1217</v>
      </c>
      <c r="D221" s="18" t="inlineStr">
        <is>
          <t>CERRADA</t>
        </is>
      </c>
      <c r="E221" s="18" t="inlineStr">
        <is>
          <t>PAGADA</t>
        </is>
      </c>
      <c r="F221" s="18" t="inlineStr">
        <is>
          <t>Set (Civil) Suministro</t>
        </is>
      </c>
      <c r="G221" s="18" t="inlineStr">
        <is>
          <t>Set (Civil) Servicio</t>
        </is>
      </c>
      <c r="H221" s="18" t="inlineStr">
        <is>
          <t>LADRILLO COMUN 9.5 X 11 X 21 CM - UND</t>
        </is>
      </c>
      <c r="I221" s="46" t="n">
        <v>1900</v>
      </c>
      <c r="J221" s="47" t="n">
        <v>1400</v>
      </c>
      <c r="K221" s="47" t="n">
        <v>2660000</v>
      </c>
      <c r="L221" s="18" t="inlineStr"/>
      <c r="M221" s="47" t="n">
        <v>0</v>
      </c>
      <c r="N221" s="47">
        <f>K221+M221</f>
        <v/>
      </c>
      <c r="O221" s="18" t="inlineStr">
        <is>
          <t>JULIO CESAR DEAVILA MARTINEZ</t>
        </is>
      </c>
      <c r="P221" s="18" t="inlineStr">
        <is>
          <t>CAMPO HELMER PORTILLO PORTILLA</t>
        </is>
      </c>
      <c r="Q221" s="18" t="inlineStr">
        <is>
          <t>PLANEADA</t>
        </is>
      </c>
      <c r="R221" s="18" t="inlineStr">
        <is>
          <t>MINI GRANJAS</t>
        </is>
      </c>
      <c r="S221" s="18" t="inlineStr">
        <is>
          <t>COT 0141</t>
        </is>
      </c>
      <c r="T221" s="18" t="inlineStr">
        <is>
          <t>Obra civil (concreto, agregados)</t>
        </is>
      </c>
    </row>
    <row r="222">
      <c r="A222" s="42" t="n">
        <v>46009.66130787037</v>
      </c>
      <c r="B222" s="16" t="n">
        <v>1521</v>
      </c>
      <c r="C222" s="16" t="n">
        <v>1158</v>
      </c>
      <c r="D222" s="16" t="inlineStr">
        <is>
          <t>CERRADA</t>
        </is>
      </c>
      <c r="E222" s="16" t="inlineStr">
        <is>
          <t>PAGADA</t>
        </is>
      </c>
      <c r="F222" s="16" t="inlineStr">
        <is>
          <t>Servicio</t>
        </is>
      </c>
      <c r="G222" s="16" t="inlineStr">
        <is>
          <t>Logística Viáticos</t>
        </is>
      </c>
      <c r="H222" s="16" t="inlineStr">
        <is>
          <t>SERVICIO DE RESTAURANTE - UND</t>
        </is>
      </c>
      <c r="I222" s="43" t="n">
        <v>47</v>
      </c>
      <c r="J222" s="44" t="n">
        <v>10362.69</v>
      </c>
      <c r="K222" s="44" t="n">
        <v>487046.43</v>
      </c>
      <c r="L222" s="16" t="inlineStr"/>
      <c r="M222" s="44" t="n">
        <v>0</v>
      </c>
      <c r="N222" s="44">
        <f>K222+M222</f>
        <v/>
      </c>
      <c r="O222" s="16" t="inlineStr">
        <is>
          <t>JULIO CESAR DEAVILA MARTINEZ</t>
        </is>
      </c>
      <c r="P222" s="16" t="inlineStr">
        <is>
          <t>MAYERLINE TOBAR GOMEZ</t>
        </is>
      </c>
      <c r="Q222" s="16" t="inlineStr">
        <is>
          <t>PLANEADA</t>
        </is>
      </c>
      <c r="R222" s="16" t="inlineStr">
        <is>
          <t>MINI GRANJAS</t>
        </is>
      </c>
      <c r="S222" s="16" t="inlineStr">
        <is>
          <t>FE1422</t>
        </is>
      </c>
      <c r="T222" s="16" t="inlineStr">
        <is>
          <t>Viáticos - Alimentación</t>
        </is>
      </c>
    </row>
    <row r="223">
      <c r="A223" s="45" t="n">
        <v>46009.66130787037</v>
      </c>
      <c r="B223" s="18" t="n">
        <v>1521</v>
      </c>
      <c r="C223" s="18" t="n">
        <v>1158</v>
      </c>
      <c r="D223" s="18" t="inlineStr">
        <is>
          <t>CERRADA</t>
        </is>
      </c>
      <c r="E223" s="18" t="inlineStr">
        <is>
          <t>PAGADA</t>
        </is>
      </c>
      <c r="F223" s="18" t="inlineStr">
        <is>
          <t>Servicio</t>
        </is>
      </c>
      <c r="G223" s="18" t="inlineStr">
        <is>
          <t>Logística Viáticos</t>
        </is>
      </c>
      <c r="H223" s="18" t="inlineStr">
        <is>
          <t>SERVICIO DE COMEDOR / RESTAURANTE - UND</t>
        </is>
      </c>
      <c r="I223" s="46" t="n">
        <v>45</v>
      </c>
      <c r="J223" s="47" t="n">
        <v>12435.23</v>
      </c>
      <c r="K223" s="47" t="n">
        <v>559585.35</v>
      </c>
      <c r="L223" s="18" t="inlineStr"/>
      <c r="M223" s="47" t="n">
        <v>0</v>
      </c>
      <c r="N223" s="47">
        <f>K223+M223</f>
        <v/>
      </c>
      <c r="O223" s="18" t="inlineStr">
        <is>
          <t>JULIO CESAR DEAVILA MARTINEZ</t>
        </is>
      </c>
      <c r="P223" s="18" t="inlineStr">
        <is>
          <t>MAYERLINE TOBAR GOMEZ</t>
        </is>
      </c>
      <c r="Q223" s="18" t="inlineStr">
        <is>
          <t>PLANEADA</t>
        </is>
      </c>
      <c r="R223" s="18" t="inlineStr">
        <is>
          <t>MINI GRANJAS</t>
        </is>
      </c>
      <c r="S223" s="18" t="inlineStr">
        <is>
          <t>FE1422</t>
        </is>
      </c>
      <c r="T223" s="18" t="inlineStr">
        <is>
          <t>Viáticos - Alimentación</t>
        </is>
      </c>
    </row>
    <row r="224">
      <c r="A224" s="42" t="n">
        <v>46009.66130787037</v>
      </c>
      <c r="B224" s="16" t="n">
        <v>1521</v>
      </c>
      <c r="C224" s="16" t="n">
        <v>1158</v>
      </c>
      <c r="D224" s="16" t="inlineStr">
        <is>
          <t>CERRADA</t>
        </is>
      </c>
      <c r="E224" s="16" t="inlineStr">
        <is>
          <t>PAGADA</t>
        </is>
      </c>
      <c r="F224" s="16" t="inlineStr">
        <is>
          <t>Servicio</t>
        </is>
      </c>
      <c r="G224" s="16" t="inlineStr">
        <is>
          <t>Logística Viáticos</t>
        </is>
      </c>
      <c r="H224" s="16" t="inlineStr">
        <is>
          <t>SERVICIO DE RESTAURANTE - UND</t>
        </is>
      </c>
      <c r="I224" s="43" t="n">
        <v>43</v>
      </c>
      <c r="J224" s="44" t="n">
        <v>12435.25</v>
      </c>
      <c r="K224" s="44" t="n">
        <v>534715.75</v>
      </c>
      <c r="L224" s="16" t="inlineStr"/>
      <c r="M224" s="44" t="n">
        <v>0</v>
      </c>
      <c r="N224" s="44">
        <f>K224+M224</f>
        <v/>
      </c>
      <c r="O224" s="16" t="inlineStr">
        <is>
          <t>JULIO CESAR DEAVILA MARTINEZ</t>
        </is>
      </c>
      <c r="P224" s="16" t="inlineStr">
        <is>
          <t>MAYERLINE TOBAR GOMEZ</t>
        </is>
      </c>
      <c r="Q224" s="16" t="inlineStr">
        <is>
          <t>PLANEADA</t>
        </is>
      </c>
      <c r="R224" s="16" t="inlineStr">
        <is>
          <t>MINI GRANJAS</t>
        </is>
      </c>
      <c r="S224" s="16" t="inlineStr">
        <is>
          <t>FE1422</t>
        </is>
      </c>
      <c r="T224" s="16" t="inlineStr">
        <is>
          <t>Viáticos - Alimentación</t>
        </is>
      </c>
    </row>
    <row r="225">
      <c r="A225" s="45" t="n">
        <v>46009.66087962963</v>
      </c>
      <c r="B225" s="18" t="n">
        <v>1519</v>
      </c>
      <c r="C225" s="18" t="n">
        <v>1159</v>
      </c>
      <c r="D225" s="18" t="inlineStr">
        <is>
          <t>CERRADA</t>
        </is>
      </c>
      <c r="E225" s="18" t="inlineStr">
        <is>
          <t>PAGADA</t>
        </is>
      </c>
      <c r="F225" s="18" t="inlineStr">
        <is>
          <t>Servicio</t>
        </is>
      </c>
      <c r="G225" s="18" t="inlineStr">
        <is>
          <t>Logística Viáticos</t>
        </is>
      </c>
      <c r="H225" s="18" t="inlineStr">
        <is>
          <t>SERVICIO DE HOTEL - UND</t>
        </is>
      </c>
      <c r="I225" s="46" t="n">
        <v>1</v>
      </c>
      <c r="J225" s="47" t="n">
        <v>621762</v>
      </c>
      <c r="K225" s="47" t="n">
        <v>621762</v>
      </c>
      <c r="L225" s="18" t="inlineStr"/>
      <c r="M225" s="47" t="n">
        <v>0</v>
      </c>
      <c r="N225" s="47">
        <f>K225+M225</f>
        <v/>
      </c>
      <c r="O225" s="18" t="inlineStr">
        <is>
          <t>JULIO CESAR DEAVILA MARTINEZ</t>
        </is>
      </c>
      <c r="P225" s="18" t="inlineStr">
        <is>
          <t>MAYERLINE TOBAR GOMEZ</t>
        </is>
      </c>
      <c r="Q225" s="18" t="inlineStr">
        <is>
          <t>PLANEADA</t>
        </is>
      </c>
      <c r="R225" s="18" t="inlineStr">
        <is>
          <t>MINI GRANJAS</t>
        </is>
      </c>
      <c r="S225" s="18" t="inlineStr">
        <is>
          <t>FE1410</t>
        </is>
      </c>
      <c r="T225" s="18" t="inlineStr">
        <is>
          <t>Viáticos - Hospedaje</t>
        </is>
      </c>
    </row>
    <row r="226">
      <c r="A226" s="42" t="n">
        <v>46006.35664351852</v>
      </c>
      <c r="B226" s="16" t="n">
        <v>1438</v>
      </c>
      <c r="C226" s="16" t="n">
        <v>1076</v>
      </c>
      <c r="D226" s="16" t="inlineStr">
        <is>
          <t>CERRADA</t>
        </is>
      </c>
      <c r="E226" s="16" t="inlineStr">
        <is>
          <t>PAGADA</t>
        </is>
      </c>
      <c r="F226" s="16" t="inlineStr">
        <is>
          <t>Servicio</t>
        </is>
      </c>
      <c r="G226" s="16" t="inlineStr">
        <is>
          <t>Logística Viáticos</t>
        </is>
      </c>
      <c r="H226" s="16" t="inlineStr">
        <is>
          <t>SERVICIO DE RESTAURANTE - UND</t>
        </is>
      </c>
      <c r="I226" s="43" t="n">
        <v>28</v>
      </c>
      <c r="J226" s="44" t="n">
        <v>10363</v>
      </c>
      <c r="K226" s="44" t="n">
        <v>290164</v>
      </c>
      <c r="L226" s="16" t="inlineStr"/>
      <c r="M226" s="44" t="n">
        <v>0</v>
      </c>
      <c r="N226" s="44">
        <f>K226+M226</f>
        <v/>
      </c>
      <c r="O226" s="16" t="inlineStr">
        <is>
          <t>JULIO CESAR DEAVILA MARTINEZ</t>
        </is>
      </c>
      <c r="P226" s="16" t="inlineStr">
        <is>
          <t>MAYERLINE TOBAR GOMEZ</t>
        </is>
      </c>
      <c r="Q226" s="16" t="inlineStr">
        <is>
          <t>PLANEADA</t>
        </is>
      </c>
      <c r="R226" s="16" t="inlineStr">
        <is>
          <t>MINI GRANJAS</t>
        </is>
      </c>
      <c r="S226" s="16" t="inlineStr">
        <is>
          <t>FE1386</t>
        </is>
      </c>
      <c r="T226" s="16" t="inlineStr">
        <is>
          <t>Viáticos - Alimentación</t>
        </is>
      </c>
    </row>
    <row r="227">
      <c r="A227" s="45" t="n">
        <v>46006.35664351852</v>
      </c>
      <c r="B227" s="18" t="n">
        <v>1438</v>
      </c>
      <c r="C227" s="18" t="n">
        <v>1076</v>
      </c>
      <c r="D227" s="18" t="inlineStr">
        <is>
          <t>CERRADA</t>
        </is>
      </c>
      <c r="E227" s="18" t="inlineStr">
        <is>
          <t>PAGADA</t>
        </is>
      </c>
      <c r="F227" s="18" t="inlineStr">
        <is>
          <t>Servicio</t>
        </is>
      </c>
      <c r="G227" s="18" t="inlineStr">
        <is>
          <t>Logística Viáticos</t>
        </is>
      </c>
      <c r="H227" s="18" t="inlineStr">
        <is>
          <t>SERVICIO DE RESTAURANTE - UND</t>
        </is>
      </c>
      <c r="I227" s="46" t="n">
        <v>27</v>
      </c>
      <c r="J227" s="47" t="n">
        <v>12435</v>
      </c>
      <c r="K227" s="47" t="n">
        <v>335745</v>
      </c>
      <c r="L227" s="18" t="inlineStr"/>
      <c r="M227" s="47" t="n">
        <v>0</v>
      </c>
      <c r="N227" s="47">
        <f>K227+M227</f>
        <v/>
      </c>
      <c r="O227" s="18" t="inlineStr">
        <is>
          <t>JULIO CESAR DEAVILA MARTINEZ</t>
        </is>
      </c>
      <c r="P227" s="18" t="inlineStr">
        <is>
          <t>MAYERLINE TOBAR GOMEZ</t>
        </is>
      </c>
      <c r="Q227" s="18" t="inlineStr">
        <is>
          <t>PLANEADA</t>
        </is>
      </c>
      <c r="R227" s="18" t="inlineStr">
        <is>
          <t>MINI GRANJAS</t>
        </is>
      </c>
      <c r="S227" s="18" t="inlineStr">
        <is>
          <t>FE1386</t>
        </is>
      </c>
      <c r="T227" s="18" t="inlineStr">
        <is>
          <t>Viáticos - Alimentación</t>
        </is>
      </c>
    </row>
    <row r="228">
      <c r="A228" s="42" t="n">
        <v>46006.35664351852</v>
      </c>
      <c r="B228" s="16" t="n">
        <v>1438</v>
      </c>
      <c r="C228" s="16" t="n">
        <v>1076</v>
      </c>
      <c r="D228" s="16" t="inlineStr">
        <is>
          <t>CERRADA</t>
        </is>
      </c>
      <c r="E228" s="16" t="inlineStr">
        <is>
          <t>PAGADA</t>
        </is>
      </c>
      <c r="F228" s="16" t="inlineStr">
        <is>
          <t>Servicio</t>
        </is>
      </c>
      <c r="G228" s="16" t="inlineStr">
        <is>
          <t>Logística Viáticos</t>
        </is>
      </c>
      <c r="H228" s="16" t="inlineStr">
        <is>
          <t>SERVICIO DE RESTAURANTE - UND</t>
        </is>
      </c>
      <c r="I228" s="43" t="n">
        <v>31</v>
      </c>
      <c r="J228" s="44" t="n">
        <v>12435.4</v>
      </c>
      <c r="K228" s="44" t="n">
        <v>385497.4</v>
      </c>
      <c r="L228" s="16" t="inlineStr"/>
      <c r="M228" s="44" t="n">
        <v>0</v>
      </c>
      <c r="N228" s="44">
        <f>K228+M228</f>
        <v/>
      </c>
      <c r="O228" s="16" t="inlineStr">
        <is>
          <t>JULIO CESAR DEAVILA MARTINEZ</t>
        </is>
      </c>
      <c r="P228" s="16" t="inlineStr">
        <is>
          <t>MAYERLINE TOBAR GOMEZ</t>
        </is>
      </c>
      <c r="Q228" s="16" t="inlineStr">
        <is>
          <t>PLANEADA</t>
        </is>
      </c>
      <c r="R228" s="16" t="inlineStr">
        <is>
          <t>MINI GRANJAS</t>
        </is>
      </c>
      <c r="S228" s="16" t="inlineStr">
        <is>
          <t>FE1386</t>
        </is>
      </c>
      <c r="T228" s="16" t="inlineStr">
        <is>
          <t>Viáticos - Alimentación</t>
        </is>
      </c>
    </row>
    <row r="229">
      <c r="A229" s="45" t="n">
        <v>46003.33563657408</v>
      </c>
      <c r="B229" s="18" t="n">
        <v>1408</v>
      </c>
      <c r="C229" s="18" t="n">
        <v>1037</v>
      </c>
      <c r="D229" s="18" t="inlineStr">
        <is>
          <t>CERRADA</t>
        </is>
      </c>
      <c r="E229" s="18" t="inlineStr">
        <is>
          <t>PAGADA</t>
        </is>
      </c>
      <c r="F229" s="18" t="inlineStr">
        <is>
          <t>Set (Civil) Suministro</t>
        </is>
      </c>
      <c r="G229" s="18" t="inlineStr">
        <is>
          <t>Set (Civil) Servicio</t>
        </is>
      </c>
      <c r="H229" s="18" t="inlineStr">
        <is>
          <t>ARENA DE RIO METRO CUBICO - UND</t>
        </is>
      </c>
      <c r="I229" s="46" t="n">
        <v>14</v>
      </c>
      <c r="J229" s="47" t="n">
        <v>90000</v>
      </c>
      <c r="K229" s="47" t="n">
        <v>1260000</v>
      </c>
      <c r="L229" s="18" t="inlineStr"/>
      <c r="M229" s="47" t="n">
        <v>0</v>
      </c>
      <c r="N229" s="47">
        <f>K229+M229</f>
        <v/>
      </c>
      <c r="O229" s="18" t="inlineStr">
        <is>
          <t>JULIO CESAR DEAVILA MARTINEZ</t>
        </is>
      </c>
      <c r="P229" s="18" t="inlineStr">
        <is>
          <t>CAMPO HELMER PORTILLO PORTILLA</t>
        </is>
      </c>
      <c r="Q229" s="18" t="inlineStr">
        <is>
          <t>URGENCIA</t>
        </is>
      </c>
      <c r="R229" s="18" t="inlineStr">
        <is>
          <t>MINI GRANJAS</t>
        </is>
      </c>
      <c r="S229" s="18" t="inlineStr">
        <is>
          <t>COT 0125</t>
        </is>
      </c>
      <c r="T229" s="18" t="inlineStr">
        <is>
          <t>Obra civil (concreto, agregados)</t>
        </is>
      </c>
    </row>
    <row r="230">
      <c r="A230" s="42" t="n">
        <v>46003.33563657408</v>
      </c>
      <c r="B230" s="16" t="n">
        <v>1408</v>
      </c>
      <c r="C230" s="16" t="n">
        <v>1037</v>
      </c>
      <c r="D230" s="16" t="inlineStr">
        <is>
          <t>CERRADA</t>
        </is>
      </c>
      <c r="E230" s="16" t="inlineStr">
        <is>
          <t>PAGADA</t>
        </is>
      </c>
      <c r="F230" s="16" t="inlineStr">
        <is>
          <t>Set (Civil) Suministro</t>
        </is>
      </c>
      <c r="G230" s="16" t="inlineStr">
        <is>
          <t>Set (Civil) Servicio</t>
        </is>
      </c>
      <c r="H230" s="16" t="inlineStr">
        <is>
          <t>RECEBO - M3</t>
        </is>
      </c>
      <c r="I230" s="43" t="n">
        <v>14</v>
      </c>
      <c r="J230" s="44" t="n">
        <v>98000</v>
      </c>
      <c r="K230" s="44" t="n">
        <v>1372000</v>
      </c>
      <c r="L230" s="16" t="inlineStr"/>
      <c r="M230" s="44" t="n">
        <v>0</v>
      </c>
      <c r="N230" s="44">
        <f>K230+M230</f>
        <v/>
      </c>
      <c r="O230" s="16" t="inlineStr">
        <is>
          <t>JULIO CESAR DEAVILA MARTINEZ</t>
        </is>
      </c>
      <c r="P230" s="16" t="inlineStr">
        <is>
          <t>CAMPO HELMER PORTILLO PORTILLA</t>
        </is>
      </c>
      <c r="Q230" s="16" t="inlineStr">
        <is>
          <t>URGENCIA</t>
        </is>
      </c>
      <c r="R230" s="16" t="inlineStr">
        <is>
          <t>MINI GRANJAS</t>
        </is>
      </c>
      <c r="S230" s="16" t="inlineStr">
        <is>
          <t>COT 0125</t>
        </is>
      </c>
      <c r="T230" s="16" t="inlineStr">
        <is>
          <t>Obra civil (concreto, agregados)</t>
        </is>
      </c>
    </row>
    <row r="231">
      <c r="A231" s="45" t="n">
        <v>46003.33563657408</v>
      </c>
      <c r="B231" s="18" t="n">
        <v>1408</v>
      </c>
      <c r="C231" s="18" t="n">
        <v>1037</v>
      </c>
      <c r="D231" s="18" t="inlineStr">
        <is>
          <t>CERRADA</t>
        </is>
      </c>
      <c r="E231" s="18" t="inlineStr">
        <is>
          <t>PAGADA</t>
        </is>
      </c>
      <c r="F231" s="18" t="inlineStr">
        <is>
          <t>Set (Civil) Suministro</t>
        </is>
      </c>
      <c r="G231" s="18" t="inlineStr">
        <is>
          <t>Set (Civil) Servicio</t>
        </is>
      </c>
      <c r="H231" s="18" t="inlineStr">
        <is>
          <t>TRITURADO 3/4 - M3</t>
        </is>
      </c>
      <c r="I231" s="46" t="n">
        <v>14</v>
      </c>
      <c r="J231" s="47" t="n">
        <v>164000</v>
      </c>
      <c r="K231" s="47" t="n">
        <v>2296000</v>
      </c>
      <c r="L231" s="18" t="inlineStr"/>
      <c r="M231" s="47" t="n">
        <v>0</v>
      </c>
      <c r="N231" s="47">
        <f>K231+M231</f>
        <v/>
      </c>
      <c r="O231" s="18" t="inlineStr">
        <is>
          <t>JULIO CESAR DEAVILA MARTINEZ</t>
        </is>
      </c>
      <c r="P231" s="18" t="inlineStr">
        <is>
          <t>CAMPO HELMER PORTILLO PORTILLA</t>
        </is>
      </c>
      <c r="Q231" s="18" t="inlineStr">
        <is>
          <t>URGENCIA</t>
        </is>
      </c>
      <c r="R231" s="18" t="inlineStr">
        <is>
          <t>MINI GRANJAS</t>
        </is>
      </c>
      <c r="S231" s="18" t="inlineStr">
        <is>
          <t>COT 0125</t>
        </is>
      </c>
      <c r="T231" s="18" t="inlineStr">
        <is>
          <t>Obra civil (concreto, agregados)</t>
        </is>
      </c>
    </row>
    <row r="232">
      <c r="A232" s="42" t="n">
        <v>46002.72130787037</v>
      </c>
      <c r="B232" s="16" t="n">
        <v>1391</v>
      </c>
      <c r="C232" s="16" t="n">
        <v>1066</v>
      </c>
      <c r="D232" s="16" t="inlineStr">
        <is>
          <t>CERRADA</t>
        </is>
      </c>
      <c r="E232" s="16" t="inlineStr">
        <is>
          <t>PAGADA</t>
        </is>
      </c>
      <c r="F232" s="16" t="inlineStr">
        <is>
          <t>Servicio</t>
        </is>
      </c>
      <c r="G232" s="16" t="inlineStr">
        <is>
          <t>Transportes</t>
        </is>
      </c>
      <c r="H232" s="16" t="inlineStr">
        <is>
          <t>FLETE - UND</t>
        </is>
      </c>
      <c r="I232" s="43" t="n">
        <v>1</v>
      </c>
      <c r="J232" s="44" t="n">
        <v>30000</v>
      </c>
      <c r="K232" s="44" t="n">
        <v>30000</v>
      </c>
      <c r="L232" s="16" t="inlineStr"/>
      <c r="M232" s="44" t="n">
        <v>0</v>
      </c>
      <c r="N232" s="44">
        <f>K232+M232</f>
        <v/>
      </c>
      <c r="O232" s="16" t="inlineStr">
        <is>
          <t>JULIO CESAR DEAVILA MARTINEZ</t>
        </is>
      </c>
      <c r="P232" s="16" t="inlineStr">
        <is>
          <t>HUMBERTO JAVIER ROSERO POTOSI</t>
        </is>
      </c>
      <c r="Q232" s="16" t="inlineStr">
        <is>
          <t>URGENCIA</t>
        </is>
      </c>
      <c r="R232" s="16" t="inlineStr">
        <is>
          <t>MINI GRANJAS</t>
        </is>
      </c>
      <c r="S232" s="16" t="inlineStr">
        <is>
          <t>COTIZACION 25-62</t>
        </is>
      </c>
      <c r="T232" s="16" t="inlineStr">
        <is>
          <t>Fletes y transporte de carga</t>
        </is>
      </c>
    </row>
    <row r="233">
      <c r="A233" s="45" t="n">
        <v>46002.72130787037</v>
      </c>
      <c r="B233" s="18" t="n">
        <v>1391</v>
      </c>
      <c r="C233" s="18" t="n">
        <v>1066</v>
      </c>
      <c r="D233" s="18" t="inlineStr">
        <is>
          <t>CERRADA</t>
        </is>
      </c>
      <c r="E233" s="18" t="inlineStr">
        <is>
          <t>PAGADA</t>
        </is>
      </c>
      <c r="F233" s="18" t="inlineStr">
        <is>
          <t>Set (Civil) Suministro</t>
        </is>
      </c>
      <c r="G233" s="18" t="inlineStr">
        <is>
          <t>Set (Civil) Servicio</t>
        </is>
      </c>
      <c r="H233" s="18" t="inlineStr">
        <is>
          <t>PLATINA DE 35CMX35CMX1CM - UND</t>
        </is>
      </c>
      <c r="I233" s="46" t="n">
        <v>6</v>
      </c>
      <c r="J233" s="47" t="n">
        <v>88000</v>
      </c>
      <c r="K233" s="47" t="n">
        <v>528000</v>
      </c>
      <c r="L233" s="18" t="inlineStr"/>
      <c r="M233" s="47" t="n">
        <v>0</v>
      </c>
      <c r="N233" s="47">
        <f>K233+M233</f>
        <v/>
      </c>
      <c r="O233" s="18" t="inlineStr">
        <is>
          <t>JULIO CESAR DEAVILA MARTINEZ</t>
        </is>
      </c>
      <c r="P233" s="18" t="inlineStr">
        <is>
          <t>HUMBERTO JAVIER ROSERO POTOSI</t>
        </is>
      </c>
      <c r="Q233" s="18" t="inlineStr">
        <is>
          <t>URGENCIA</t>
        </is>
      </c>
      <c r="R233" s="18" t="inlineStr">
        <is>
          <t>MINI GRANJAS</t>
        </is>
      </c>
      <c r="S233" s="18" t="inlineStr">
        <is>
          <t>COTIZACION 25-62</t>
        </is>
      </c>
      <c r="T233" s="18" t="inlineStr">
        <is>
          <t>Estructura y soportería solar</t>
        </is>
      </c>
    </row>
    <row r="234">
      <c r="A234" s="42" t="n">
        <v>46002.72091435185</v>
      </c>
      <c r="B234" s="16" t="n">
        <v>1390</v>
      </c>
      <c r="C234" s="16" t="n">
        <v>1064</v>
      </c>
      <c r="D234" s="16" t="inlineStr">
        <is>
          <t>CERRADA</t>
        </is>
      </c>
      <c r="E234" s="16" t="inlineStr">
        <is>
          <t>PAGADA</t>
        </is>
      </c>
      <c r="F234" s="16" t="inlineStr">
        <is>
          <t>Set (Civil) Suministro</t>
        </is>
      </c>
      <c r="G234" s="16" t="inlineStr">
        <is>
          <t>Set (Civil) Servicio</t>
        </is>
      </c>
      <c r="H234" s="16" t="inlineStr">
        <is>
          <t>ARANDELA PLANA GALVANIZADA 3/4" - UND</t>
        </is>
      </c>
      <c r="I234" s="43" t="n">
        <v>24</v>
      </c>
      <c r="J234" s="44" t="n">
        <v>638.65</v>
      </c>
      <c r="K234" s="44" t="n">
        <v>15327.6</v>
      </c>
      <c r="L234" s="16" t="inlineStr">
        <is>
          <t>IVA 19%</t>
        </is>
      </c>
      <c r="M234" s="44" t="n">
        <v>2912</v>
      </c>
      <c r="N234" s="44">
        <f>K234+M234</f>
        <v/>
      </c>
      <c r="O234" s="16" t="inlineStr">
        <is>
          <t>JULIO CESAR DEAVILA MARTINEZ</t>
        </is>
      </c>
      <c r="P234" s="16" t="inlineStr">
        <is>
          <t>RAMIREZ Y DAVID SAS</t>
        </is>
      </c>
      <c r="Q234" s="16" t="inlineStr">
        <is>
          <t>URGENCIA</t>
        </is>
      </c>
      <c r="R234" s="16" t="inlineStr">
        <is>
          <t>MINI GRANJAS</t>
        </is>
      </c>
      <c r="S234" s="16" t="inlineStr">
        <is>
          <t>COTIZACION SP02 004158</t>
        </is>
      </c>
      <c r="T234" s="16" t="inlineStr">
        <is>
          <t>Otros / sin clasificar</t>
        </is>
      </c>
    </row>
    <row r="235">
      <c r="A235" s="45" t="n">
        <v>46002.72091435185</v>
      </c>
      <c r="B235" s="18" t="n">
        <v>1390</v>
      </c>
      <c r="C235" s="18" t="n">
        <v>1064</v>
      </c>
      <c r="D235" s="18" t="inlineStr">
        <is>
          <t>CERRADA</t>
        </is>
      </c>
      <c r="E235" s="18" t="inlineStr">
        <is>
          <t>PAGADA</t>
        </is>
      </c>
      <c r="F235" s="18" t="inlineStr">
        <is>
          <t>Set (Civil) Suministro</t>
        </is>
      </c>
      <c r="G235" s="18" t="inlineStr">
        <is>
          <t>Set (Civil) Servicio</t>
        </is>
      </c>
      <c r="H235" s="18" t="inlineStr">
        <is>
          <t>TUERCA HEXAGONAL GALVANIZADA 3/4" - UND</t>
        </is>
      </c>
      <c r="I235" s="46" t="n">
        <v>24</v>
      </c>
      <c r="J235" s="47" t="n">
        <v>718.48</v>
      </c>
      <c r="K235" s="47" t="n">
        <v>17243.52</v>
      </c>
      <c r="L235" s="18" t="inlineStr">
        <is>
          <t>IVA 19%</t>
        </is>
      </c>
      <c r="M235" s="47" t="n">
        <v>3276</v>
      </c>
      <c r="N235" s="47">
        <f>K235+M235</f>
        <v/>
      </c>
      <c r="O235" s="18" t="inlineStr">
        <is>
          <t>JULIO CESAR DEAVILA MARTINEZ</t>
        </is>
      </c>
      <c r="P235" s="18" t="inlineStr">
        <is>
          <t>RAMIREZ Y DAVID SAS</t>
        </is>
      </c>
      <c r="Q235" s="18" t="inlineStr">
        <is>
          <t>URGENCIA</t>
        </is>
      </c>
      <c r="R235" s="18" t="inlineStr">
        <is>
          <t>MINI GRANJAS</t>
        </is>
      </c>
      <c r="S235" s="18" t="inlineStr">
        <is>
          <t>COTIZACION SP02 004158</t>
        </is>
      </c>
      <c r="T235" s="18" t="inlineStr">
        <is>
          <t>Cajas de paso y accesorios</t>
        </is>
      </c>
    </row>
    <row r="236">
      <c r="A236" s="42" t="n">
        <v>46002.72091435185</v>
      </c>
      <c r="B236" s="16" t="n">
        <v>1390</v>
      </c>
      <c r="C236" s="16" t="n">
        <v>1064</v>
      </c>
      <c r="D236" s="16" t="inlineStr">
        <is>
          <t>CERRADA</t>
        </is>
      </c>
      <c r="E236" s="16" t="inlineStr">
        <is>
          <t>PAGADA</t>
        </is>
      </c>
      <c r="F236" s="16" t="inlineStr">
        <is>
          <t>Set (Civil) Suministro</t>
        </is>
      </c>
      <c r="G236" s="16" t="inlineStr">
        <is>
          <t>Set (Civil) Servicio</t>
        </is>
      </c>
      <c r="H236" s="16" t="inlineStr">
        <is>
          <t>VARILLA ROSCADA B7 3/4 X 1M - METRO</t>
        </is>
      </c>
      <c r="I236" s="43" t="n">
        <v>5</v>
      </c>
      <c r="J236" s="44" t="n">
        <v>24348.73</v>
      </c>
      <c r="K236" s="44" t="n">
        <v>121743.65</v>
      </c>
      <c r="L236" s="16" t="inlineStr">
        <is>
          <t>IVA 19%</t>
        </is>
      </c>
      <c r="M236" s="44" t="n">
        <v>23131</v>
      </c>
      <c r="N236" s="44">
        <f>K236+M236</f>
        <v/>
      </c>
      <c r="O236" s="16" t="inlineStr">
        <is>
          <t>JULIO CESAR DEAVILA MARTINEZ</t>
        </is>
      </c>
      <c r="P236" s="16" t="inlineStr">
        <is>
          <t>RAMIREZ Y DAVID SAS</t>
        </is>
      </c>
      <c r="Q236" s="16" t="inlineStr">
        <is>
          <t>URGENCIA</t>
        </is>
      </c>
      <c r="R236" s="16" t="inlineStr">
        <is>
          <t>MINI GRANJAS</t>
        </is>
      </c>
      <c r="S236" s="16" t="inlineStr">
        <is>
          <t>COTIZACION SP02 004158</t>
        </is>
      </c>
      <c r="T236" s="16" t="inlineStr">
        <is>
          <t>Micropilotaje</t>
        </is>
      </c>
    </row>
    <row r="237">
      <c r="A237" s="45" t="n">
        <v>46000.35826388889</v>
      </c>
      <c r="B237" s="18" t="n">
        <v>1338</v>
      </c>
      <c r="C237" s="18" t="n">
        <v>985</v>
      </c>
      <c r="D237" s="18" t="inlineStr">
        <is>
          <t>CERRADA</t>
        </is>
      </c>
      <c r="E237" s="18" t="inlineStr">
        <is>
          <t>PAGADA</t>
        </is>
      </c>
      <c r="F237" s="18" t="inlineStr">
        <is>
          <t>Servicio</t>
        </is>
      </c>
      <c r="G237" s="18" t="inlineStr">
        <is>
          <t>Logística Viáticos</t>
        </is>
      </c>
      <c r="H237" s="18" t="inlineStr">
        <is>
          <t>SERVICIO DE HOTEL - UND</t>
        </is>
      </c>
      <c r="I237" s="46" t="n">
        <v>1</v>
      </c>
      <c r="J237" s="47" t="n">
        <v>518135</v>
      </c>
      <c r="K237" s="47" t="n">
        <v>518135</v>
      </c>
      <c r="L237" s="18" t="inlineStr"/>
      <c r="M237" s="47" t="n">
        <v>0</v>
      </c>
      <c r="N237" s="47">
        <f>K237+M237</f>
        <v/>
      </c>
      <c r="O237" s="18" t="inlineStr">
        <is>
          <t>JULIO CESAR DEAVILA MARTINEZ</t>
        </is>
      </c>
      <c r="P237" s="18" t="inlineStr">
        <is>
          <t>MAYERLINE TOBAR GOMEZ</t>
        </is>
      </c>
      <c r="Q237" s="18" t="inlineStr">
        <is>
          <t>PLANEADA</t>
        </is>
      </c>
      <c r="R237" s="18" t="inlineStr">
        <is>
          <t>MINI GRANJAS</t>
        </is>
      </c>
      <c r="S237" s="18" t="inlineStr">
        <is>
          <t>FE1348</t>
        </is>
      </c>
      <c r="T237" s="18" t="inlineStr">
        <is>
          <t>Viáticos - Hospedaje</t>
        </is>
      </c>
    </row>
    <row r="238">
      <c r="A238" s="42" t="n">
        <v>46000.35826388889</v>
      </c>
      <c r="B238" s="16" t="n">
        <v>1338</v>
      </c>
      <c r="C238" s="16" t="n">
        <v>985</v>
      </c>
      <c r="D238" s="16" t="inlineStr">
        <is>
          <t>CERRADA</t>
        </is>
      </c>
      <c r="E238" s="16" t="inlineStr">
        <is>
          <t>PAGADA</t>
        </is>
      </c>
      <c r="F238" s="16" t="inlineStr">
        <is>
          <t>Servicio</t>
        </is>
      </c>
      <c r="G238" s="16" t="inlineStr">
        <is>
          <t>Logística Viáticos</t>
        </is>
      </c>
      <c r="H238" s="16" t="inlineStr">
        <is>
          <t>SERVICIO DE HOTEL - UND</t>
        </is>
      </c>
      <c r="I238" s="43" t="n">
        <v>1</v>
      </c>
      <c r="J238" s="44" t="n">
        <v>621762</v>
      </c>
      <c r="K238" s="44" t="n">
        <v>621762</v>
      </c>
      <c r="L238" s="16" t="inlineStr"/>
      <c r="M238" s="44" t="n">
        <v>0</v>
      </c>
      <c r="N238" s="44">
        <f>K238+M238</f>
        <v/>
      </c>
      <c r="O238" s="16" t="inlineStr">
        <is>
          <t>JULIO CESAR DEAVILA MARTINEZ</t>
        </is>
      </c>
      <c r="P238" s="16" t="inlineStr">
        <is>
          <t>MAYERLINE TOBAR GOMEZ</t>
        </is>
      </c>
      <c r="Q238" s="16" t="inlineStr">
        <is>
          <t>PLANEADA</t>
        </is>
      </c>
      <c r="R238" s="16" t="inlineStr">
        <is>
          <t>MINI GRANJAS</t>
        </is>
      </c>
      <c r="S238" s="16" t="inlineStr">
        <is>
          <t>FE1348</t>
        </is>
      </c>
      <c r="T238" s="16" t="inlineStr">
        <is>
          <t>Viáticos - Hospedaje</t>
        </is>
      </c>
    </row>
    <row r="239">
      <c r="A239" s="45" t="n">
        <v>46000.35703703704</v>
      </c>
      <c r="B239" s="18" t="n">
        <v>1336</v>
      </c>
      <c r="C239" s="18" t="n">
        <v>982</v>
      </c>
      <c r="D239" s="18" t="inlineStr">
        <is>
          <t>CERRADA</t>
        </is>
      </c>
      <c r="E239" s="18" t="inlineStr">
        <is>
          <t>PAGADA</t>
        </is>
      </c>
      <c r="F239" s="18" t="inlineStr">
        <is>
          <t>Servicio</t>
        </is>
      </c>
      <c r="G239" s="18" t="inlineStr">
        <is>
          <t>Logística Viáticos</t>
        </is>
      </c>
      <c r="H239" s="18" t="inlineStr">
        <is>
          <t>SERVICIO DE RESTAURANTE - UND</t>
        </is>
      </c>
      <c r="I239" s="46" t="n">
        <v>21</v>
      </c>
      <c r="J239" s="47" t="n">
        <v>10363</v>
      </c>
      <c r="K239" s="47" t="n">
        <v>217623</v>
      </c>
      <c r="L239" s="18" t="inlineStr"/>
      <c r="M239" s="47" t="n">
        <v>0</v>
      </c>
      <c r="N239" s="47">
        <f>K239+M239</f>
        <v/>
      </c>
      <c r="O239" s="18" t="inlineStr">
        <is>
          <t>JULIO CESAR DEAVILA MARTINEZ</t>
        </is>
      </c>
      <c r="P239" s="18" t="inlineStr">
        <is>
          <t>MAYERLINE TOBAR GOMEZ</t>
        </is>
      </c>
      <c r="Q239" s="18" t="inlineStr">
        <is>
          <t>PLANEADA</t>
        </is>
      </c>
      <c r="R239" s="18" t="inlineStr">
        <is>
          <t>MINI GRANJAS</t>
        </is>
      </c>
      <c r="S239" s="18" t="inlineStr">
        <is>
          <t>FE1349</t>
        </is>
      </c>
      <c r="T239" s="18" t="inlineStr">
        <is>
          <t>Viáticos - Alimentación</t>
        </is>
      </c>
    </row>
    <row r="240">
      <c r="A240" s="42" t="n">
        <v>46000.35703703704</v>
      </c>
      <c r="B240" s="16" t="n">
        <v>1336</v>
      </c>
      <c r="C240" s="16" t="n">
        <v>982</v>
      </c>
      <c r="D240" s="16" t="inlineStr">
        <is>
          <t>CERRADA</t>
        </is>
      </c>
      <c r="E240" s="16" t="inlineStr">
        <is>
          <t>PAGADA</t>
        </is>
      </c>
      <c r="F240" s="16" t="inlineStr">
        <is>
          <t>Servicio</t>
        </is>
      </c>
      <c r="G240" s="16" t="inlineStr">
        <is>
          <t>Logística Viáticos</t>
        </is>
      </c>
      <c r="H240" s="16" t="inlineStr">
        <is>
          <t>SERVICIO DE RESTAURANTE - UND</t>
        </is>
      </c>
      <c r="I240" s="43" t="n">
        <v>21</v>
      </c>
      <c r="J240" s="44" t="n">
        <v>12435</v>
      </c>
      <c r="K240" s="44" t="n">
        <v>261135</v>
      </c>
      <c r="L240" s="16" t="inlineStr"/>
      <c r="M240" s="44" t="n">
        <v>0</v>
      </c>
      <c r="N240" s="44">
        <f>K240+M240</f>
        <v/>
      </c>
      <c r="O240" s="16" t="inlineStr">
        <is>
          <t>JULIO CESAR DEAVILA MARTINEZ</t>
        </is>
      </c>
      <c r="P240" s="16" t="inlineStr">
        <is>
          <t>MAYERLINE TOBAR GOMEZ</t>
        </is>
      </c>
      <c r="Q240" s="16" t="inlineStr">
        <is>
          <t>PLANEADA</t>
        </is>
      </c>
      <c r="R240" s="16" t="inlineStr">
        <is>
          <t>MINI GRANJAS</t>
        </is>
      </c>
      <c r="S240" s="16" t="inlineStr">
        <is>
          <t>FE1349</t>
        </is>
      </c>
      <c r="T240" s="16" t="inlineStr">
        <is>
          <t>Viáticos - Alimentación</t>
        </is>
      </c>
    </row>
    <row r="241">
      <c r="A241" s="45" t="n">
        <v>46000.35703703704</v>
      </c>
      <c r="B241" s="18" t="n">
        <v>1336</v>
      </c>
      <c r="C241" s="18" t="n">
        <v>982</v>
      </c>
      <c r="D241" s="18" t="inlineStr">
        <is>
          <t>CERRADA</t>
        </is>
      </c>
      <c r="E241" s="18" t="inlineStr">
        <is>
          <t>PAGADA</t>
        </is>
      </c>
      <c r="F241" s="18" t="inlineStr">
        <is>
          <t>Servicio</t>
        </is>
      </c>
      <c r="G241" s="18" t="inlineStr">
        <is>
          <t>Logística Viáticos</t>
        </is>
      </c>
      <c r="H241" s="18" t="inlineStr">
        <is>
          <t>SERVICIO DE RESTAURANTE - UND</t>
        </is>
      </c>
      <c r="I241" s="46" t="n">
        <v>16</v>
      </c>
      <c r="J241" s="47" t="n">
        <v>12435.5</v>
      </c>
      <c r="K241" s="47" t="n">
        <v>198968</v>
      </c>
      <c r="L241" s="18" t="inlineStr"/>
      <c r="M241" s="47" t="n">
        <v>0</v>
      </c>
      <c r="N241" s="47">
        <f>K241+M241</f>
        <v/>
      </c>
      <c r="O241" s="18" t="inlineStr">
        <is>
          <t>JULIO CESAR DEAVILA MARTINEZ</t>
        </is>
      </c>
      <c r="P241" s="18" t="inlineStr">
        <is>
          <t>MAYERLINE TOBAR GOMEZ</t>
        </is>
      </c>
      <c r="Q241" s="18" t="inlineStr">
        <is>
          <t>PLANEADA</t>
        </is>
      </c>
      <c r="R241" s="18" t="inlineStr">
        <is>
          <t>MINI GRANJAS</t>
        </is>
      </c>
      <c r="S241" s="18" t="inlineStr">
        <is>
          <t>FE1349</t>
        </is>
      </c>
      <c r="T241" s="18" t="inlineStr">
        <is>
          <t>Viáticos - Alimentación</t>
        </is>
      </c>
    </row>
    <row r="242">
      <c r="A242" s="42" t="n">
        <v>45996.38663194444</v>
      </c>
      <c r="B242" s="16" t="n">
        <v>1323</v>
      </c>
      <c r="C242" s="16" t="n">
        <v>974</v>
      </c>
      <c r="D242" s="16" t="inlineStr">
        <is>
          <t>CERRADA</t>
        </is>
      </c>
      <c r="E242" s="16" t="inlineStr">
        <is>
          <t>PAGADA</t>
        </is>
      </c>
      <c r="F242" s="16" t="inlineStr">
        <is>
          <t>Set (Civil) Suministro</t>
        </is>
      </c>
      <c r="G242" s="16" t="inlineStr">
        <is>
          <t>Set (Civil) Servicio</t>
        </is>
      </c>
      <c r="H242" s="16" t="inlineStr">
        <is>
          <t>PUNTILLA LISA DE HIERRO X 2" - UND</t>
        </is>
      </c>
      <c r="I242" s="43" t="n">
        <v>20</v>
      </c>
      <c r="J242" s="44" t="n">
        <v>4500</v>
      </c>
      <c r="K242" s="44" t="n">
        <v>90000</v>
      </c>
      <c r="L242" s="16" t="inlineStr"/>
      <c r="M242" s="44" t="n">
        <v>0</v>
      </c>
      <c r="N242" s="44">
        <f>K242+M242</f>
        <v/>
      </c>
      <c r="O242" s="16" t="inlineStr">
        <is>
          <t>JULIO CESAR DEAVILA MARTINEZ</t>
        </is>
      </c>
      <c r="P242" s="16" t="inlineStr">
        <is>
          <t>DILIANA HINOJOSA INFANTE (DISTRIBUIDORA DE MATERIALES DYD)</t>
        </is>
      </c>
      <c r="Q242" s="16" t="inlineStr">
        <is>
          <t>PLANEADA</t>
        </is>
      </c>
      <c r="R242" s="16" t="inlineStr">
        <is>
          <t>MINI GRANJAS</t>
        </is>
      </c>
      <c r="S242" s="16" t="inlineStr">
        <is>
          <t>cot83</t>
        </is>
      </c>
      <c r="T242" s="16" t="inlineStr">
        <is>
          <t>Otros / sin clasificar</t>
        </is>
      </c>
    </row>
    <row r="243">
      <c r="A243" s="45" t="n">
        <v>45996.38663194444</v>
      </c>
      <c r="B243" s="18" t="n">
        <v>1323</v>
      </c>
      <c r="C243" s="18" t="n">
        <v>974</v>
      </c>
      <c r="D243" s="18" t="inlineStr">
        <is>
          <t>CERRADA</t>
        </is>
      </c>
      <c r="E243" s="18" t="inlineStr">
        <is>
          <t>PAGADA</t>
        </is>
      </c>
      <c r="F243" s="18" t="inlineStr">
        <is>
          <t>Set (Civil) Suministro</t>
        </is>
      </c>
      <c r="G243" s="18" t="inlineStr">
        <is>
          <t>Set (Civil) Servicio</t>
        </is>
      </c>
      <c r="H243" s="18" t="inlineStr">
        <is>
          <t>PUNTILLA LISA DE HIERRO X 2 1/2" - UND</t>
        </is>
      </c>
      <c r="I243" s="46" t="n">
        <v>20</v>
      </c>
      <c r="J243" s="47" t="n">
        <v>4500</v>
      </c>
      <c r="K243" s="47" t="n">
        <v>90000</v>
      </c>
      <c r="L243" s="18" t="inlineStr"/>
      <c r="M243" s="47" t="n">
        <v>0</v>
      </c>
      <c r="N243" s="47">
        <f>K243+M243</f>
        <v/>
      </c>
      <c r="O243" s="18" t="inlineStr">
        <is>
          <t>JULIO CESAR DEAVILA MARTINEZ</t>
        </is>
      </c>
      <c r="P243" s="18" t="inlineStr">
        <is>
          <t>DILIANA HINOJOSA INFANTE (DISTRIBUIDORA DE MATERIALES DYD)</t>
        </is>
      </c>
      <c r="Q243" s="18" t="inlineStr">
        <is>
          <t>PLANEADA</t>
        </is>
      </c>
      <c r="R243" s="18" t="inlineStr">
        <is>
          <t>MINI GRANJAS</t>
        </is>
      </c>
      <c r="S243" s="18" t="inlineStr">
        <is>
          <t>cot83</t>
        </is>
      </c>
      <c r="T243" s="18" t="inlineStr">
        <is>
          <t>Otros / sin clasificar</t>
        </is>
      </c>
    </row>
    <row r="244">
      <c r="A244" s="42" t="n">
        <v>45996.38663194444</v>
      </c>
      <c r="B244" s="16" t="n">
        <v>1323</v>
      </c>
      <c r="C244" s="16" t="n">
        <v>974</v>
      </c>
      <c r="D244" s="16" t="inlineStr">
        <is>
          <t>CERRADA</t>
        </is>
      </c>
      <c r="E244" s="16" t="inlineStr">
        <is>
          <t>PAGADA</t>
        </is>
      </c>
      <c r="F244" s="16" t="inlineStr">
        <is>
          <t>Set (Civil) Suministro</t>
        </is>
      </c>
      <c r="G244" s="16" t="inlineStr">
        <is>
          <t>Set (Civil) Servicio</t>
        </is>
      </c>
      <c r="H244" s="16" t="inlineStr">
        <is>
          <t>CHIPA DE ACERO 1/4 CORRUGADA  - KILO</t>
        </is>
      </c>
      <c r="I244" s="43" t="n">
        <v>12</v>
      </c>
      <c r="J244" s="44" t="n">
        <v>4600</v>
      </c>
      <c r="K244" s="44" t="n">
        <v>55200</v>
      </c>
      <c r="L244" s="16" t="inlineStr"/>
      <c r="M244" s="44" t="n">
        <v>0</v>
      </c>
      <c r="N244" s="44">
        <f>K244+M244</f>
        <v/>
      </c>
      <c r="O244" s="16" t="inlineStr">
        <is>
          <t>JULIO CESAR DEAVILA MARTINEZ</t>
        </is>
      </c>
      <c r="P244" s="16" t="inlineStr">
        <is>
          <t>DILIANA HINOJOSA INFANTE (DISTRIBUIDORA DE MATERIALES DYD)</t>
        </is>
      </c>
      <c r="Q244" s="16" t="inlineStr">
        <is>
          <t>PLANEADA</t>
        </is>
      </c>
      <c r="R244" s="16" t="inlineStr">
        <is>
          <t>MINI GRANJAS</t>
        </is>
      </c>
      <c r="S244" s="16" t="inlineStr">
        <is>
          <t>cot83</t>
        </is>
      </c>
      <c r="T244" s="16" t="inlineStr">
        <is>
          <t>Obra civil (concreto, agregados)</t>
        </is>
      </c>
    </row>
    <row r="245">
      <c r="A245" s="45" t="n">
        <v>45996.38663194444</v>
      </c>
      <c r="B245" s="18" t="n">
        <v>1323</v>
      </c>
      <c r="C245" s="18" t="n">
        <v>974</v>
      </c>
      <c r="D245" s="18" t="inlineStr">
        <is>
          <t>CERRADA</t>
        </is>
      </c>
      <c r="E245" s="18" t="inlineStr">
        <is>
          <t>PAGADA</t>
        </is>
      </c>
      <c r="F245" s="18" t="inlineStr">
        <is>
          <t>Set (Civil) Suministro</t>
        </is>
      </c>
      <c r="G245" s="18" t="inlineStr">
        <is>
          <t>Set (Civil) Servicio</t>
        </is>
      </c>
      <c r="H245" s="18" t="inlineStr">
        <is>
          <t>CHIPA DE ACERO 3/8 CORRUGADA - UND</t>
        </is>
      </c>
      <c r="I245" s="46" t="n">
        <v>675</v>
      </c>
      <c r="J245" s="47" t="n">
        <v>5000</v>
      </c>
      <c r="K245" s="47" t="n">
        <v>3375000</v>
      </c>
      <c r="L245" s="18" t="inlineStr"/>
      <c r="M245" s="47" t="n">
        <v>0</v>
      </c>
      <c r="N245" s="47">
        <f>K245+M245</f>
        <v/>
      </c>
      <c r="O245" s="18" t="inlineStr">
        <is>
          <t>JULIO CESAR DEAVILA MARTINEZ</t>
        </is>
      </c>
      <c r="P245" s="18" t="inlineStr">
        <is>
          <t>DILIANA HINOJOSA INFANTE (DISTRIBUIDORA DE MATERIALES DYD)</t>
        </is>
      </c>
      <c r="Q245" s="18" t="inlineStr">
        <is>
          <t>PLANEADA</t>
        </is>
      </c>
      <c r="R245" s="18" t="inlineStr">
        <is>
          <t>MINI GRANJAS</t>
        </is>
      </c>
      <c r="S245" s="18" t="inlineStr">
        <is>
          <t>cot83</t>
        </is>
      </c>
      <c r="T245" s="18" t="inlineStr">
        <is>
          <t>Obra civil (concreto, agregados)</t>
        </is>
      </c>
    </row>
    <row r="246">
      <c r="A246" s="42" t="n">
        <v>45996.38663194444</v>
      </c>
      <c r="B246" s="16" t="n">
        <v>1323</v>
      </c>
      <c r="C246" s="16" t="n">
        <v>974</v>
      </c>
      <c r="D246" s="16" t="inlineStr">
        <is>
          <t>CERRADA</t>
        </is>
      </c>
      <c r="E246" s="16" t="inlineStr">
        <is>
          <t>PAGADA</t>
        </is>
      </c>
      <c r="F246" s="16" t="inlineStr">
        <is>
          <t>Set (Civil) Suministro</t>
        </is>
      </c>
      <c r="G246" s="16" t="inlineStr">
        <is>
          <t>Set (Civil) Servicio</t>
        </is>
      </c>
      <c r="H246" s="16" t="inlineStr">
        <is>
          <t>ALAMBRE DE AMARRE X KG - UND</t>
        </is>
      </c>
      <c r="I246" s="43" t="n">
        <v>100</v>
      </c>
      <c r="J246" s="44" t="n">
        <v>5700</v>
      </c>
      <c r="K246" s="44" t="n">
        <v>570000</v>
      </c>
      <c r="L246" s="16" t="inlineStr"/>
      <c r="M246" s="44" t="n">
        <v>0</v>
      </c>
      <c r="N246" s="44">
        <f>K246+M246</f>
        <v/>
      </c>
      <c r="O246" s="16" t="inlineStr">
        <is>
          <t>JULIO CESAR DEAVILA MARTINEZ</t>
        </is>
      </c>
      <c r="P246" s="16" t="inlineStr">
        <is>
          <t>DILIANA HINOJOSA INFANTE (DISTRIBUIDORA DE MATERIALES DYD)</t>
        </is>
      </c>
      <c r="Q246" s="16" t="inlineStr">
        <is>
          <t>PLANEADA</t>
        </is>
      </c>
      <c r="R246" s="16" t="inlineStr">
        <is>
          <t>MINI GRANJAS</t>
        </is>
      </c>
      <c r="S246" s="16" t="inlineStr">
        <is>
          <t>cot83</t>
        </is>
      </c>
      <c r="T246" s="16" t="inlineStr">
        <is>
          <t>Cableado y conductores</t>
        </is>
      </c>
    </row>
    <row r="247">
      <c r="A247" s="45" t="n">
        <v>45996.38663194444</v>
      </c>
      <c r="B247" s="18" t="n">
        <v>1323</v>
      </c>
      <c r="C247" s="18" t="n">
        <v>974</v>
      </c>
      <c r="D247" s="18" t="inlineStr">
        <is>
          <t>CERRADA</t>
        </is>
      </c>
      <c r="E247" s="18" t="inlineStr">
        <is>
          <t>PAGADA</t>
        </is>
      </c>
      <c r="F247" s="18" t="inlineStr">
        <is>
          <t>Set (Civil) Suministro</t>
        </is>
      </c>
      <c r="G247" s="18" t="inlineStr">
        <is>
          <t>Set (Civil) Servicio</t>
        </is>
      </c>
      <c r="H247" s="18" t="inlineStr">
        <is>
          <t>GUANTES DE NITRILO - PAR - UND</t>
        </is>
      </c>
      <c r="I247" s="46" t="n">
        <v>3</v>
      </c>
      <c r="J247" s="47" t="n">
        <v>6500</v>
      </c>
      <c r="K247" s="47" t="n">
        <v>19500</v>
      </c>
      <c r="L247" s="18" t="inlineStr"/>
      <c r="M247" s="47" t="n">
        <v>0</v>
      </c>
      <c r="N247" s="47">
        <f>K247+M247</f>
        <v/>
      </c>
      <c r="O247" s="18" t="inlineStr">
        <is>
          <t>JULIO CESAR DEAVILA MARTINEZ</t>
        </is>
      </c>
      <c r="P247" s="18" t="inlineStr">
        <is>
          <t>DILIANA HINOJOSA INFANTE (DISTRIBUIDORA DE MATERIALES DYD)</t>
        </is>
      </c>
      <c r="Q247" s="18" t="inlineStr">
        <is>
          <t>PLANEADA</t>
        </is>
      </c>
      <c r="R247" s="18" t="inlineStr">
        <is>
          <t>MINI GRANJAS</t>
        </is>
      </c>
      <c r="S247" s="18" t="inlineStr">
        <is>
          <t>cot83</t>
        </is>
      </c>
      <c r="T247" s="18" t="inlineStr">
        <is>
          <t>EPP (dotación y seguridad)</t>
        </is>
      </c>
    </row>
    <row r="248">
      <c r="A248" s="42" t="n">
        <v>45996.38663194444</v>
      </c>
      <c r="B248" s="16" t="n">
        <v>1323</v>
      </c>
      <c r="C248" s="16" t="n">
        <v>974</v>
      </c>
      <c r="D248" s="16" t="inlineStr">
        <is>
          <t>CERRADA</t>
        </is>
      </c>
      <c r="E248" s="16" t="inlineStr">
        <is>
          <t>PAGADA</t>
        </is>
      </c>
      <c r="F248" s="16" t="inlineStr">
        <is>
          <t>Set (Civil) Suministro</t>
        </is>
      </c>
      <c r="G248" s="16" t="inlineStr">
        <is>
          <t>Set (Civil) Servicio</t>
        </is>
      </c>
      <c r="H248" s="16" t="inlineStr">
        <is>
          <t>DISCO CORTE METAL X 7" - UND</t>
        </is>
      </c>
      <c r="I248" s="43" t="n">
        <v>10</v>
      </c>
      <c r="J248" s="44" t="n">
        <v>7800</v>
      </c>
      <c r="K248" s="44" t="n">
        <v>78000</v>
      </c>
      <c r="L248" s="16" t="inlineStr"/>
      <c r="M248" s="44" t="n">
        <v>0</v>
      </c>
      <c r="N248" s="44">
        <f>K248+M248</f>
        <v/>
      </c>
      <c r="O248" s="16" t="inlineStr">
        <is>
          <t>JULIO CESAR DEAVILA MARTINEZ</t>
        </is>
      </c>
      <c r="P248" s="16" t="inlineStr">
        <is>
          <t>DILIANA HINOJOSA INFANTE (DISTRIBUIDORA DE MATERIALES DYD)</t>
        </is>
      </c>
      <c r="Q248" s="16" t="inlineStr">
        <is>
          <t>PLANEADA</t>
        </is>
      </c>
      <c r="R248" s="16" t="inlineStr">
        <is>
          <t>MINI GRANJAS</t>
        </is>
      </c>
      <c r="S248" s="16" t="inlineStr">
        <is>
          <t>cot83</t>
        </is>
      </c>
      <c r="T248" s="16" t="inlineStr">
        <is>
          <t>Otros / sin clasificar</t>
        </is>
      </c>
    </row>
    <row r="249">
      <c r="A249" s="45" t="n">
        <v>45996.38663194444</v>
      </c>
      <c r="B249" s="18" t="n">
        <v>1323</v>
      </c>
      <c r="C249" s="18" t="n">
        <v>974</v>
      </c>
      <c r="D249" s="18" t="inlineStr">
        <is>
          <t>CERRADA</t>
        </is>
      </c>
      <c r="E249" s="18" t="inlineStr">
        <is>
          <t>PAGADA</t>
        </is>
      </c>
      <c r="F249" s="18" t="inlineStr">
        <is>
          <t>Set (Civil) Suministro</t>
        </is>
      </c>
      <c r="G249" s="18" t="inlineStr">
        <is>
          <t>Set (Civil) Servicio</t>
        </is>
      </c>
      <c r="H249" s="18" t="inlineStr">
        <is>
          <t>LISTON DE MADERA 4 X 4 X 300 CM - UND</t>
        </is>
      </c>
      <c r="I249" s="46" t="n">
        <v>20</v>
      </c>
      <c r="J249" s="47" t="n">
        <v>9500</v>
      </c>
      <c r="K249" s="47" t="n">
        <v>190000</v>
      </c>
      <c r="L249" s="18" t="inlineStr"/>
      <c r="M249" s="47" t="n">
        <v>0</v>
      </c>
      <c r="N249" s="47">
        <f>K249+M249</f>
        <v/>
      </c>
      <c r="O249" s="18" t="inlineStr">
        <is>
          <t>JULIO CESAR DEAVILA MARTINEZ</t>
        </is>
      </c>
      <c r="P249" s="18" t="inlineStr">
        <is>
          <t>DILIANA HINOJOSA INFANTE (DISTRIBUIDORA DE MATERIALES DYD)</t>
        </is>
      </c>
      <c r="Q249" s="18" t="inlineStr">
        <is>
          <t>PLANEADA</t>
        </is>
      </c>
      <c r="R249" s="18" t="inlineStr">
        <is>
          <t>MINI GRANJAS</t>
        </is>
      </c>
      <c r="S249" s="18" t="inlineStr">
        <is>
          <t>cot83</t>
        </is>
      </c>
      <c r="T249" s="18" t="inlineStr">
        <is>
          <t>Otros / sin clasificar</t>
        </is>
      </c>
    </row>
    <row r="250">
      <c r="A250" s="42" t="n">
        <v>45996.38663194444</v>
      </c>
      <c r="B250" s="16" t="n">
        <v>1323</v>
      </c>
      <c r="C250" s="16" t="n">
        <v>974</v>
      </c>
      <c r="D250" s="16" t="inlineStr">
        <is>
          <t>CERRADA</t>
        </is>
      </c>
      <c r="E250" s="16" t="inlineStr">
        <is>
          <t>PAGADA</t>
        </is>
      </c>
      <c r="F250" s="16" t="inlineStr">
        <is>
          <t>Set (Civil) Suministro</t>
        </is>
      </c>
      <c r="G250" s="16" t="inlineStr">
        <is>
          <t>Set (Civil) Servicio</t>
        </is>
      </c>
      <c r="H250" s="16" t="inlineStr">
        <is>
          <t>PUNTILLA ACERO 21/2" - UND</t>
        </is>
      </c>
      <c r="I250" s="43" t="n">
        <v>8</v>
      </c>
      <c r="J250" s="44" t="n">
        <v>9500</v>
      </c>
      <c r="K250" s="44" t="n">
        <v>76000</v>
      </c>
      <c r="L250" s="16" t="inlineStr"/>
      <c r="M250" s="44" t="n">
        <v>0</v>
      </c>
      <c r="N250" s="44">
        <f>K250+M250</f>
        <v/>
      </c>
      <c r="O250" s="16" t="inlineStr">
        <is>
          <t>JULIO CESAR DEAVILA MARTINEZ</t>
        </is>
      </c>
      <c r="P250" s="16" t="inlineStr">
        <is>
          <t>DILIANA HINOJOSA INFANTE (DISTRIBUIDORA DE MATERIALES DYD)</t>
        </is>
      </c>
      <c r="Q250" s="16" t="inlineStr">
        <is>
          <t>PLANEADA</t>
        </is>
      </c>
      <c r="R250" s="16" t="inlineStr">
        <is>
          <t>MINI GRANJAS</t>
        </is>
      </c>
      <c r="S250" s="16" t="inlineStr">
        <is>
          <t>cot83</t>
        </is>
      </c>
      <c r="T250" s="16" t="inlineStr">
        <is>
          <t>Otros / sin clasificar</t>
        </is>
      </c>
    </row>
    <row r="251">
      <c r="A251" s="45" t="n">
        <v>45996.38663194444</v>
      </c>
      <c r="B251" s="18" t="n">
        <v>1323</v>
      </c>
      <c r="C251" s="18" t="n">
        <v>974</v>
      </c>
      <c r="D251" s="18" t="inlineStr">
        <is>
          <t>CERRADA</t>
        </is>
      </c>
      <c r="E251" s="18" t="inlineStr">
        <is>
          <t>PAGADA</t>
        </is>
      </c>
      <c r="F251" s="18" t="inlineStr">
        <is>
          <t>Set (Civil) Suministro</t>
        </is>
      </c>
      <c r="G251" s="18" t="inlineStr">
        <is>
          <t>Set (Civil) Servicio</t>
        </is>
      </c>
      <c r="H251" s="18" t="inlineStr">
        <is>
          <t>LISTON DE MADERA 4 X 8 X 300 CM - UND</t>
        </is>
      </c>
      <c r="I251" s="46" t="n">
        <v>33</v>
      </c>
      <c r="J251" s="47" t="n">
        <v>12500</v>
      </c>
      <c r="K251" s="47" t="n">
        <v>412500</v>
      </c>
      <c r="L251" s="18" t="inlineStr"/>
      <c r="M251" s="47" t="n">
        <v>0</v>
      </c>
      <c r="N251" s="47">
        <f>K251+M251</f>
        <v/>
      </c>
      <c r="O251" s="18" t="inlineStr">
        <is>
          <t>JULIO CESAR DEAVILA MARTINEZ</t>
        </is>
      </c>
      <c r="P251" s="18" t="inlineStr">
        <is>
          <t>DILIANA HINOJOSA INFANTE (DISTRIBUIDORA DE MATERIALES DYD)</t>
        </is>
      </c>
      <c r="Q251" s="18" t="inlineStr">
        <is>
          <t>PLANEADA</t>
        </is>
      </c>
      <c r="R251" s="18" t="inlineStr">
        <is>
          <t>MINI GRANJAS</t>
        </is>
      </c>
      <c r="S251" s="18" t="inlineStr">
        <is>
          <t>cot83</t>
        </is>
      </c>
      <c r="T251" s="18" t="inlineStr">
        <is>
          <t>Otros / sin clasificar</t>
        </is>
      </c>
    </row>
    <row r="252">
      <c r="A252" s="42" t="n">
        <v>45996.38663194444</v>
      </c>
      <c r="B252" s="16" t="n">
        <v>1323</v>
      </c>
      <c r="C252" s="16" t="n">
        <v>974</v>
      </c>
      <c r="D252" s="16" t="inlineStr">
        <is>
          <t>CERRADA</t>
        </is>
      </c>
      <c r="E252" s="16" t="inlineStr">
        <is>
          <t>PAGADA</t>
        </is>
      </c>
      <c r="F252" s="16" t="inlineStr">
        <is>
          <t>Set (Civil) Suministro</t>
        </is>
      </c>
      <c r="G252" s="16" t="inlineStr">
        <is>
          <t>Set (Civil) Servicio</t>
        </is>
      </c>
      <c r="H252" s="16" t="inlineStr">
        <is>
          <t>POLISOMBRA NEGRA AL 80% X  4.00 MTS - UND</t>
        </is>
      </c>
      <c r="I252" s="43" t="n">
        <v>40</v>
      </c>
      <c r="J252" s="44" t="n">
        <v>14500</v>
      </c>
      <c r="K252" s="44" t="n">
        <v>580000</v>
      </c>
      <c r="L252" s="16" t="inlineStr"/>
      <c r="M252" s="44" t="n">
        <v>0</v>
      </c>
      <c r="N252" s="44">
        <f>K252+M252</f>
        <v/>
      </c>
      <c r="O252" s="16" t="inlineStr">
        <is>
          <t>JULIO CESAR DEAVILA MARTINEZ</t>
        </is>
      </c>
      <c r="P252" s="16" t="inlineStr">
        <is>
          <t>DILIANA HINOJOSA INFANTE (DISTRIBUIDORA DE MATERIALES DYD)</t>
        </is>
      </c>
      <c r="Q252" s="16" t="inlineStr">
        <is>
          <t>PLANEADA</t>
        </is>
      </c>
      <c r="R252" s="16" t="inlineStr">
        <is>
          <t>MINI GRANJAS</t>
        </is>
      </c>
      <c r="S252" s="16" t="inlineStr">
        <is>
          <t>cot83</t>
        </is>
      </c>
      <c r="T252" s="16" t="inlineStr">
        <is>
          <t>Otros / sin clasificar</t>
        </is>
      </c>
    </row>
    <row r="253">
      <c r="A253" s="45" t="n">
        <v>45996.38663194444</v>
      </c>
      <c r="B253" s="18" t="n">
        <v>1323</v>
      </c>
      <c r="C253" s="18" t="n">
        <v>974</v>
      </c>
      <c r="D253" s="18" t="inlineStr">
        <is>
          <t>CERRADA</t>
        </is>
      </c>
      <c r="E253" s="18" t="inlineStr">
        <is>
          <t>PAGADA</t>
        </is>
      </c>
      <c r="F253" s="18" t="inlineStr">
        <is>
          <t>Set (Civil) Suministro</t>
        </is>
      </c>
      <c r="G253" s="18" t="inlineStr">
        <is>
          <t>Set (Civil) Servicio</t>
        </is>
      </c>
      <c r="H253" s="18" t="inlineStr">
        <is>
          <t>VARILLA CORRUGADA PARA CONSTRUCCIÓN 3/8" X 6M - UND</t>
        </is>
      </c>
      <c r="I253" s="46" t="n">
        <v>10</v>
      </c>
      <c r="J253" s="47" t="n">
        <v>14500</v>
      </c>
      <c r="K253" s="47" t="n">
        <v>145000</v>
      </c>
      <c r="L253" s="18" t="inlineStr"/>
      <c r="M253" s="47" t="n">
        <v>0</v>
      </c>
      <c r="N253" s="47">
        <f>K253+M253</f>
        <v/>
      </c>
      <c r="O253" s="18" t="inlineStr">
        <is>
          <t>JULIO CESAR DEAVILA MARTINEZ</t>
        </is>
      </c>
      <c r="P253" s="18" t="inlineStr">
        <is>
          <t>DILIANA HINOJOSA INFANTE (DISTRIBUIDORA DE MATERIALES DYD)</t>
        </is>
      </c>
      <c r="Q253" s="18" t="inlineStr">
        <is>
          <t>PLANEADA</t>
        </is>
      </c>
      <c r="R253" s="18" t="inlineStr">
        <is>
          <t>MINI GRANJAS</t>
        </is>
      </c>
      <c r="S253" s="18" t="inlineStr">
        <is>
          <t>cot83</t>
        </is>
      </c>
      <c r="T253" s="18" t="inlineStr">
        <is>
          <t>Obra civil (concreto, agregados)</t>
        </is>
      </c>
    </row>
    <row r="254">
      <c r="A254" s="42" t="n">
        <v>45996.38663194444</v>
      </c>
      <c r="B254" s="16" t="n">
        <v>1323</v>
      </c>
      <c r="C254" s="16" t="n">
        <v>974</v>
      </c>
      <c r="D254" s="16" t="inlineStr">
        <is>
          <t>CERRADA</t>
        </is>
      </c>
      <c r="E254" s="16" t="inlineStr">
        <is>
          <t>PAGADA</t>
        </is>
      </c>
      <c r="F254" s="16" t="inlineStr">
        <is>
          <t>Set (Civil) Suministro</t>
        </is>
      </c>
      <c r="G254" s="16" t="inlineStr">
        <is>
          <t>Set (Civil) Servicio</t>
        </is>
      </c>
      <c r="H254" s="16" t="inlineStr">
        <is>
          <t>DISCO PARA CORTE DE CONCRETO EN EJE 7/8" (DIAMETRO 7") - UND</t>
        </is>
      </c>
      <c r="I254" s="43" t="n">
        <v>1</v>
      </c>
      <c r="J254" s="44" t="n">
        <v>16500</v>
      </c>
      <c r="K254" s="44" t="n">
        <v>16500</v>
      </c>
      <c r="L254" s="16" t="inlineStr"/>
      <c r="M254" s="44" t="n">
        <v>0</v>
      </c>
      <c r="N254" s="44">
        <f>K254+M254</f>
        <v/>
      </c>
      <c r="O254" s="16" t="inlineStr">
        <is>
          <t>JULIO CESAR DEAVILA MARTINEZ</t>
        </is>
      </c>
      <c r="P254" s="16" t="inlineStr">
        <is>
          <t>DILIANA HINOJOSA INFANTE (DISTRIBUIDORA DE MATERIALES DYD)</t>
        </is>
      </c>
      <c r="Q254" s="16" t="inlineStr">
        <is>
          <t>PLANEADA</t>
        </is>
      </c>
      <c r="R254" s="16" t="inlineStr">
        <is>
          <t>MINI GRANJAS</t>
        </is>
      </c>
      <c r="S254" s="16" t="inlineStr">
        <is>
          <t>cot83</t>
        </is>
      </c>
      <c r="T254" s="16" t="inlineStr">
        <is>
          <t>Obra civil (concreto, agregados)</t>
        </is>
      </c>
    </row>
    <row r="255">
      <c r="A255" s="45" t="n">
        <v>45996.38663194444</v>
      </c>
      <c r="B255" s="18" t="n">
        <v>1323</v>
      </c>
      <c r="C255" s="18" t="n">
        <v>974</v>
      </c>
      <c r="D255" s="18" t="inlineStr">
        <is>
          <t>CERRADA</t>
        </is>
      </c>
      <c r="E255" s="18" t="inlineStr">
        <is>
          <t>PAGADA</t>
        </is>
      </c>
      <c r="F255" s="18" t="inlineStr">
        <is>
          <t>Set (Civil) Suministro</t>
        </is>
      </c>
      <c r="G255" s="18" t="inlineStr">
        <is>
          <t>Set (Civil) Servicio</t>
        </is>
      </c>
      <c r="H255" s="18" t="inlineStr">
        <is>
          <t>TABLA ORDINARIA - UND</t>
        </is>
      </c>
      <c r="I255" s="46" t="n">
        <v>60</v>
      </c>
      <c r="J255" s="47" t="n">
        <v>18500</v>
      </c>
      <c r="K255" s="47" t="n">
        <v>1110000</v>
      </c>
      <c r="L255" s="18" t="inlineStr"/>
      <c r="M255" s="47" t="n">
        <v>0</v>
      </c>
      <c r="N255" s="47">
        <f>K255+M255</f>
        <v/>
      </c>
      <c r="O255" s="18" t="inlineStr">
        <is>
          <t>JULIO CESAR DEAVILA MARTINEZ</t>
        </is>
      </c>
      <c r="P255" s="18" t="inlineStr">
        <is>
          <t>DILIANA HINOJOSA INFANTE (DISTRIBUIDORA DE MATERIALES DYD)</t>
        </is>
      </c>
      <c r="Q255" s="18" t="inlineStr">
        <is>
          <t>PLANEADA</t>
        </is>
      </c>
      <c r="R255" s="18" t="inlineStr">
        <is>
          <t>MINI GRANJAS</t>
        </is>
      </c>
      <c r="S255" s="18" t="inlineStr">
        <is>
          <t>cot83</t>
        </is>
      </c>
      <c r="T255" s="18" t="inlineStr">
        <is>
          <t>Obra civil (concreto, agregados)</t>
        </is>
      </c>
    </row>
    <row r="256">
      <c r="A256" s="42" t="n">
        <v>45996.38663194444</v>
      </c>
      <c r="B256" s="16" t="n">
        <v>1323</v>
      </c>
      <c r="C256" s="16" t="n">
        <v>974</v>
      </c>
      <c r="D256" s="16" t="inlineStr">
        <is>
          <t>CERRADA</t>
        </is>
      </c>
      <c r="E256" s="16" t="inlineStr">
        <is>
          <t>PAGADA</t>
        </is>
      </c>
      <c r="F256" s="16" t="inlineStr">
        <is>
          <t>Set (Civil) Suministro</t>
        </is>
      </c>
      <c r="G256" s="16" t="inlineStr">
        <is>
          <t>Set (Civil) Servicio</t>
        </is>
      </c>
      <c r="H256" s="16" t="inlineStr">
        <is>
          <t>VARILLA CORRUGADA PARA CONSTRUCCIÓN 1/2" X 6M - UND</t>
        </is>
      </c>
      <c r="I256" s="43" t="n">
        <v>171</v>
      </c>
      <c r="J256" s="44" t="n">
        <v>24500</v>
      </c>
      <c r="K256" s="44" t="n">
        <v>4189500</v>
      </c>
      <c r="L256" s="16" t="inlineStr"/>
      <c r="M256" s="44" t="n">
        <v>0</v>
      </c>
      <c r="N256" s="44">
        <f>K256+M256</f>
        <v/>
      </c>
      <c r="O256" s="16" t="inlineStr">
        <is>
          <t>JULIO CESAR DEAVILA MARTINEZ</t>
        </is>
      </c>
      <c r="P256" s="16" t="inlineStr">
        <is>
          <t>DILIANA HINOJOSA INFANTE (DISTRIBUIDORA DE MATERIALES DYD)</t>
        </is>
      </c>
      <c r="Q256" s="16" t="inlineStr">
        <is>
          <t>PLANEADA</t>
        </is>
      </c>
      <c r="R256" s="16" t="inlineStr">
        <is>
          <t>MINI GRANJAS</t>
        </is>
      </c>
      <c r="S256" s="16" t="inlineStr">
        <is>
          <t>cot83</t>
        </is>
      </c>
      <c r="T256" s="16" t="inlineStr">
        <is>
          <t>Obra civil (concreto, agregados)</t>
        </is>
      </c>
    </row>
    <row r="257">
      <c r="A257" s="45" t="n">
        <v>45996.38663194444</v>
      </c>
      <c r="B257" s="18" t="n">
        <v>1323</v>
      </c>
      <c r="C257" s="18" t="n">
        <v>974</v>
      </c>
      <c r="D257" s="18" t="inlineStr">
        <is>
          <t>CERRADA</t>
        </is>
      </c>
      <c r="E257" s="18" t="inlineStr">
        <is>
          <t>PAGADA</t>
        </is>
      </c>
      <c r="F257" s="18" t="inlineStr">
        <is>
          <t>Set (Civil) Suministro</t>
        </is>
      </c>
      <c r="G257" s="18" t="inlineStr">
        <is>
          <t>Set (Civil) Servicio</t>
        </is>
      </c>
      <c r="H257" s="18" t="inlineStr">
        <is>
          <t>GUADUA MADERA - UND</t>
        </is>
      </c>
      <c r="I257" s="46" t="n">
        <v>25</v>
      </c>
      <c r="J257" s="47" t="n">
        <v>29500</v>
      </c>
      <c r="K257" s="47" t="n">
        <v>737500</v>
      </c>
      <c r="L257" s="18" t="inlineStr"/>
      <c r="M257" s="47" t="n">
        <v>0</v>
      </c>
      <c r="N257" s="47">
        <f>K257+M257</f>
        <v/>
      </c>
      <c r="O257" s="18" t="inlineStr">
        <is>
          <t>JULIO CESAR DEAVILA MARTINEZ</t>
        </is>
      </c>
      <c r="P257" s="18" t="inlineStr">
        <is>
          <t>DILIANA HINOJOSA INFANTE (DISTRIBUIDORA DE MATERIALES DYD)</t>
        </is>
      </c>
      <c r="Q257" s="18" t="inlineStr">
        <is>
          <t>PLANEADA</t>
        </is>
      </c>
      <c r="R257" s="18" t="inlineStr">
        <is>
          <t>MINI GRANJAS</t>
        </is>
      </c>
      <c r="S257" s="18" t="inlineStr">
        <is>
          <t>cot83</t>
        </is>
      </c>
      <c r="T257" s="18" t="inlineStr">
        <is>
          <t>Otros / sin clasificar</t>
        </is>
      </c>
    </row>
    <row r="258">
      <c r="A258" s="42" t="n">
        <v>45996.38663194444</v>
      </c>
      <c r="B258" s="16" t="n">
        <v>1323</v>
      </c>
      <c r="C258" s="16" t="n">
        <v>974</v>
      </c>
      <c r="D258" s="16" t="inlineStr">
        <is>
          <t>CERRADA</t>
        </is>
      </c>
      <c r="E258" s="16" t="inlineStr">
        <is>
          <t>PAGADA</t>
        </is>
      </c>
      <c r="F258" s="16" t="inlineStr">
        <is>
          <t>Set (Civil) Suministro</t>
        </is>
      </c>
      <c r="G258" s="16" t="inlineStr">
        <is>
          <t>Set (Civil) Servicio</t>
        </is>
      </c>
      <c r="H258" s="16" t="inlineStr">
        <is>
          <t>MALLA ELECTROSOLDADA 6MM - UND</t>
        </is>
      </c>
      <c r="I258" s="43" t="n">
        <v>5</v>
      </c>
      <c r="J258" s="44" t="n">
        <v>280000</v>
      </c>
      <c r="K258" s="44" t="n">
        <v>1400000</v>
      </c>
      <c r="L258" s="16" t="inlineStr"/>
      <c r="M258" s="44" t="n">
        <v>0</v>
      </c>
      <c r="N258" s="44">
        <f>K258+M258</f>
        <v/>
      </c>
      <c r="O258" s="16" t="inlineStr">
        <is>
          <t>JULIO CESAR DEAVILA MARTINEZ</t>
        </is>
      </c>
      <c r="P258" s="16" t="inlineStr">
        <is>
          <t>DILIANA HINOJOSA INFANTE (DISTRIBUIDORA DE MATERIALES DYD)</t>
        </is>
      </c>
      <c r="Q258" s="16" t="inlineStr">
        <is>
          <t>PLANEADA</t>
        </is>
      </c>
      <c r="R258" s="16" t="inlineStr">
        <is>
          <t>MINI GRANJAS</t>
        </is>
      </c>
      <c r="S258" s="16" t="inlineStr">
        <is>
          <t>cot83</t>
        </is>
      </c>
      <c r="T258" s="16" t="inlineStr">
        <is>
          <t>Obra civil (concreto, agregados)</t>
        </is>
      </c>
    </row>
    <row r="259">
      <c r="A259" s="45" t="n">
        <v>45993.5958912037</v>
      </c>
      <c r="B259" s="18" t="n">
        <v>1284</v>
      </c>
      <c r="C259" s="18" t="n">
        <v>949</v>
      </c>
      <c r="D259" s="18" t="inlineStr">
        <is>
          <t>CERRADA</t>
        </is>
      </c>
      <c r="E259" s="18" t="inlineStr">
        <is>
          <t>PAGADA</t>
        </is>
      </c>
      <c r="F259" s="18" t="inlineStr">
        <is>
          <t>Servicio</t>
        </is>
      </c>
      <c r="G259" s="18" t="inlineStr">
        <is>
          <t>Set (Civil) Servicio</t>
        </is>
      </c>
      <c r="H259" s="18" t="inlineStr">
        <is>
          <t>CONSTRUCCIÓN SET CIVIL - UND</t>
        </is>
      </c>
      <c r="I259" s="46" t="n">
        <v>1</v>
      </c>
      <c r="J259" s="47" t="n">
        <v>26576083</v>
      </c>
      <c r="K259" s="47" t="n">
        <v>26576083</v>
      </c>
      <c r="L259" s="18" t="inlineStr"/>
      <c r="M259" s="47" t="n">
        <v>0</v>
      </c>
      <c r="N259" s="47">
        <f>K259+M259</f>
        <v/>
      </c>
      <c r="O259" s="18" t="inlineStr">
        <is>
          <t>JULIO CESAR DEAVILA MARTINEZ</t>
        </is>
      </c>
      <c r="P259" s="18" t="inlineStr">
        <is>
          <t>INGENIERIA Y SOLUCIONES DE NARIÑO SAS</t>
        </is>
      </c>
      <c r="Q259" s="18" t="inlineStr">
        <is>
          <t>PLANEADA</t>
        </is>
      </c>
      <c r="R259" s="18" t="inlineStr">
        <is>
          <t>MINI GRANJAS</t>
        </is>
      </c>
      <c r="S259" s="18" t="inlineStr">
        <is>
          <t>COT:0075-2025</t>
        </is>
      </c>
      <c r="T259" s="18" t="inlineStr">
        <is>
          <t>Servicios de obra e ingeniería</t>
        </is>
      </c>
    </row>
    <row r="260">
      <c r="A260" s="42" t="n">
        <v>45993.4025925926</v>
      </c>
      <c r="B260" s="16" t="n">
        <v>1278</v>
      </c>
      <c r="C260" s="16" t="n">
        <v>975</v>
      </c>
      <c r="D260" s="16" t="inlineStr">
        <is>
          <t>CERRADA</t>
        </is>
      </c>
      <c r="E260" s="16" t="inlineStr">
        <is>
          <t>PAGADA</t>
        </is>
      </c>
      <c r="F260" s="16" t="inlineStr">
        <is>
          <t>Servicio</t>
        </is>
      </c>
      <c r="G260" s="16" t="inlineStr">
        <is>
          <t>Preparativos Previos Inicio De Obras</t>
        </is>
      </c>
      <c r="H260" s="16" t="inlineStr">
        <is>
          <t>CRUDO DE RÍO X M3 - M3</t>
        </is>
      </c>
      <c r="I260" s="43" t="n">
        <v>105</v>
      </c>
      <c r="J260" s="44" t="n">
        <v>60000</v>
      </c>
      <c r="K260" s="44" t="n">
        <v>6300000</v>
      </c>
      <c r="L260" s="16" t="inlineStr"/>
      <c r="M260" s="44" t="n">
        <v>0</v>
      </c>
      <c r="N260" s="44">
        <f>K260+M260</f>
        <v/>
      </c>
      <c r="O260" s="16" t="inlineStr">
        <is>
          <t>JULIO CESAR DEAVILA MARTINEZ</t>
        </is>
      </c>
      <c r="P260" s="16" t="inlineStr">
        <is>
          <t>CAMPO HELMER PORTILLO PORTILLA</t>
        </is>
      </c>
      <c r="Q260" s="16" t="inlineStr">
        <is>
          <t>URGENCIA</t>
        </is>
      </c>
      <c r="R260" s="16" t="inlineStr">
        <is>
          <t>MINI GRANJAS</t>
        </is>
      </c>
      <c r="S260" s="16" t="inlineStr">
        <is>
          <t>COTIZACION 0121</t>
        </is>
      </c>
      <c r="T260" s="16" t="inlineStr">
        <is>
          <t>Obra civil (concreto, agregados)</t>
        </is>
      </c>
    </row>
    <row r="261">
      <c r="A261" s="45" t="n">
        <v>45993.40202546296</v>
      </c>
      <c r="B261" s="18" t="n">
        <v>1277</v>
      </c>
      <c r="C261" s="18" t="n">
        <v>980</v>
      </c>
      <c r="D261" s="18" t="inlineStr">
        <is>
          <t>CERRADA</t>
        </is>
      </c>
      <c r="E261" s="18" t="inlineStr">
        <is>
          <t>PAGADA</t>
        </is>
      </c>
      <c r="F261" s="18" t="inlineStr">
        <is>
          <t>C. Material Micropilotaje</t>
        </is>
      </c>
      <c r="G261" s="18" t="inlineStr">
        <is>
          <t>(Sin Subgrupo)</t>
        </is>
      </c>
      <c r="H261" s="18" t="inlineStr">
        <is>
          <t>ARENA DE RIO METRO CUBICO - UND</t>
        </is>
      </c>
      <c r="I261" s="46" t="n">
        <v>70</v>
      </c>
      <c r="J261" s="47" t="n">
        <v>90000</v>
      </c>
      <c r="K261" s="47" t="n">
        <v>6300000</v>
      </c>
      <c r="L261" s="18" t="inlineStr"/>
      <c r="M261" s="47" t="n">
        <v>0</v>
      </c>
      <c r="N261" s="47">
        <f>K261+M261</f>
        <v/>
      </c>
      <c r="O261" s="18" t="inlineStr">
        <is>
          <t>JULIO CESAR DEAVILA MARTINEZ</t>
        </is>
      </c>
      <c r="P261" s="18" t="inlineStr">
        <is>
          <t>CAMPO HELMER PORTILLO PORTILLA</t>
        </is>
      </c>
      <c r="Q261" s="18" t="inlineStr">
        <is>
          <t>PLANEADA</t>
        </is>
      </c>
      <c r="R261" s="18" t="inlineStr">
        <is>
          <t>MINI GRANJAS</t>
        </is>
      </c>
      <c r="S261" s="18" t="inlineStr">
        <is>
          <t>COTIZACION 0123</t>
        </is>
      </c>
      <c r="T261" s="18" t="inlineStr">
        <is>
          <t>Obra civil (concreto, agregados)</t>
        </is>
      </c>
    </row>
    <row r="262">
      <c r="A262" s="42" t="n">
        <v>45993.40202546296</v>
      </c>
      <c r="B262" s="16" t="n">
        <v>1277</v>
      </c>
      <c r="C262" s="16" t="n">
        <v>980</v>
      </c>
      <c r="D262" s="16" t="inlineStr">
        <is>
          <t>CERRADA</t>
        </is>
      </c>
      <c r="E262" s="16" t="inlineStr">
        <is>
          <t>PAGADA</t>
        </is>
      </c>
      <c r="F262" s="16" t="inlineStr">
        <is>
          <t>C. Material Micropilotaje</t>
        </is>
      </c>
      <c r="G262" s="16" t="inlineStr">
        <is>
          <t>(Sin Subgrupo)</t>
        </is>
      </c>
      <c r="H262" s="16" t="inlineStr">
        <is>
          <t>TRITURADO FINO METRO CUBICO - UND</t>
        </is>
      </c>
      <c r="I262" s="43" t="n">
        <v>35</v>
      </c>
      <c r="J262" s="44" t="n">
        <v>164000</v>
      </c>
      <c r="K262" s="44" t="n">
        <v>5740000</v>
      </c>
      <c r="L262" s="16" t="inlineStr"/>
      <c r="M262" s="44" t="n">
        <v>0</v>
      </c>
      <c r="N262" s="44">
        <f>K262+M262</f>
        <v/>
      </c>
      <c r="O262" s="16" t="inlineStr">
        <is>
          <t>JULIO CESAR DEAVILA MARTINEZ</t>
        </is>
      </c>
      <c r="P262" s="16" t="inlineStr">
        <is>
          <t>CAMPO HELMER PORTILLO PORTILLA</t>
        </is>
      </c>
      <c r="Q262" s="16" t="inlineStr">
        <is>
          <t>PLANEADA</t>
        </is>
      </c>
      <c r="R262" s="16" t="inlineStr">
        <is>
          <t>MINI GRANJAS</t>
        </is>
      </c>
      <c r="S262" s="16" t="inlineStr">
        <is>
          <t>COTIZACION 0123</t>
        </is>
      </c>
      <c r="T262" s="16" t="inlineStr">
        <is>
          <t>Obra civil (concreto, agregados)</t>
        </is>
      </c>
    </row>
    <row r="263">
      <c r="A263" s="45" t="n">
        <v>45993.39549768518</v>
      </c>
      <c r="B263" s="18" t="n">
        <v>1273</v>
      </c>
      <c r="C263" s="18" t="n">
        <v>948</v>
      </c>
      <c r="D263" s="18" t="inlineStr">
        <is>
          <t>CERRADA</t>
        </is>
      </c>
      <c r="E263" s="18" t="inlineStr">
        <is>
          <t>PAGADA</t>
        </is>
      </c>
      <c r="F263" s="18" t="inlineStr">
        <is>
          <t>Servicio</t>
        </is>
      </c>
      <c r="G263" s="18" t="inlineStr">
        <is>
          <t>Cerramiento Perimetral</t>
        </is>
      </c>
      <c r="H263" s="18" t="inlineStr">
        <is>
          <t>CERRAMIENTO PERIMETRAL - UND</t>
        </is>
      </c>
      <c r="I263" s="46" t="n">
        <v>1</v>
      </c>
      <c r="J263" s="47" t="n">
        <v>131407057</v>
      </c>
      <c r="K263" s="47" t="n">
        <v>131407057</v>
      </c>
      <c r="L263" s="18" t="inlineStr"/>
      <c r="M263" s="47" t="n">
        <v>0</v>
      </c>
      <c r="N263" s="47">
        <f>K263+M263</f>
        <v/>
      </c>
      <c r="O263" s="18" t="inlineStr">
        <is>
          <t>JULIO CESAR DEAVILA MARTINEZ</t>
        </is>
      </c>
      <c r="P263" s="18" t="inlineStr">
        <is>
          <t>INGENIERIA Y SOLUCIONES DE NARIÑO SAS</t>
        </is>
      </c>
      <c r="Q263" s="18" t="inlineStr">
        <is>
          <t>PLANEADA</t>
        </is>
      </c>
      <c r="R263" s="18" t="inlineStr">
        <is>
          <t>MINI GRANJAS</t>
        </is>
      </c>
      <c r="S263" s="18" t="inlineStr">
        <is>
          <t>COT:0073-2025</t>
        </is>
      </c>
      <c r="T263" s="18" t="inlineStr">
        <is>
          <t>Cerramiento perimetral</t>
        </is>
      </c>
    </row>
    <row r="264">
      <c r="A264" s="42" t="n">
        <v>45986.61543981481</v>
      </c>
      <c r="B264" s="16" t="n">
        <v>1228</v>
      </c>
      <c r="C264" s="16" t="n">
        <v>943</v>
      </c>
      <c r="D264" s="16" t="inlineStr">
        <is>
          <t>CERRADA</t>
        </is>
      </c>
      <c r="E264" s="16" t="inlineStr">
        <is>
          <t>PAGADA</t>
        </is>
      </c>
      <c r="F264" s="16" t="inlineStr">
        <is>
          <t>Gastos Administrativos</t>
        </is>
      </c>
      <c r="G264" s="16" t="inlineStr">
        <is>
          <t>Logística Viáticos</t>
        </is>
      </c>
      <c r="H264" s="16" t="inlineStr">
        <is>
          <t>SERVICIO DE HOTEL - UND</t>
        </is>
      </c>
      <c r="I264" s="43" t="n">
        <v>2</v>
      </c>
      <c r="J264" s="44" t="n">
        <v>518135</v>
      </c>
      <c r="K264" s="44" t="n">
        <v>1036270</v>
      </c>
      <c r="L264" s="16" t="inlineStr"/>
      <c r="M264" s="44" t="n">
        <v>0</v>
      </c>
      <c r="N264" s="44">
        <f>K264+M264</f>
        <v/>
      </c>
      <c r="O264" s="16" t="inlineStr">
        <is>
          <t>JULIO CESAR DEAVILA MARTINEZ</t>
        </is>
      </c>
      <c r="P264" s="16" t="inlineStr">
        <is>
          <t>MAYERLINE TOBAR GOMEZ</t>
        </is>
      </c>
      <c r="Q264" s="16" t="inlineStr">
        <is>
          <t>PLANEADA</t>
        </is>
      </c>
      <c r="R264" s="16" t="inlineStr">
        <is>
          <t>MINI GRANJAS</t>
        </is>
      </c>
      <c r="S264" s="16" t="inlineStr">
        <is>
          <t>FE1325</t>
        </is>
      </c>
      <c r="T264" s="16" t="inlineStr">
        <is>
          <t>Viáticos - Hospedaje</t>
        </is>
      </c>
    </row>
    <row r="265">
      <c r="A265" s="45" t="n">
        <v>45979.65402777777</v>
      </c>
      <c r="B265" s="18" t="n">
        <v>1162</v>
      </c>
      <c r="C265" s="18" t="n">
        <v>884</v>
      </c>
      <c r="D265" s="18" t="inlineStr">
        <is>
          <t>CERRADA</t>
        </is>
      </c>
      <c r="E265" s="18" t="inlineStr">
        <is>
          <t>PAGADA</t>
        </is>
      </c>
      <c r="F265" s="18" t="inlineStr">
        <is>
          <t>Servicio</t>
        </is>
      </c>
      <c r="G265" s="18" t="inlineStr">
        <is>
          <t>Baños Portátiles</t>
        </is>
      </c>
      <c r="H265" s="18" t="inlineStr">
        <is>
          <t>ALQUILER DE BAÑO PORTATIL - UND</t>
        </is>
      </c>
      <c r="I265" s="46" t="n">
        <v>1</v>
      </c>
      <c r="J265" s="47" t="n">
        <v>26000</v>
      </c>
      <c r="K265" s="47" t="n">
        <v>26000</v>
      </c>
      <c r="L265" s="18" t="inlineStr"/>
      <c r="M265" s="47" t="n">
        <v>0</v>
      </c>
      <c r="N265" s="47">
        <f>K265+M265</f>
        <v/>
      </c>
      <c r="O265" s="18" t="inlineStr">
        <is>
          <t>JULIO CESAR DEAVILA MARTINEZ</t>
        </is>
      </c>
      <c r="P265" s="18" t="inlineStr">
        <is>
          <t>HOOVER ANTONIO GUACHAVES LASSO</t>
        </is>
      </c>
      <c r="Q265" s="18" t="inlineStr">
        <is>
          <t>URGENCIA</t>
        </is>
      </c>
      <c r="R265" s="18" t="inlineStr">
        <is>
          <t>MINI GRANJAS</t>
        </is>
      </c>
      <c r="S265" s="18" t="inlineStr">
        <is>
          <t>CUENTA DE COBRO POLARIS 4 y EVOLTI 1</t>
        </is>
      </c>
      <c r="T265" s="18" t="inlineStr">
        <is>
          <t>Baños y sanitarios portátiles</t>
        </is>
      </c>
    </row>
    <row r="266">
      <c r="A266" s="42" t="n">
        <v>45979.65402777777</v>
      </c>
      <c r="B266" s="16" t="n">
        <v>1162</v>
      </c>
      <c r="C266" s="16" t="n">
        <v>884</v>
      </c>
      <c r="D266" s="16" t="inlineStr">
        <is>
          <t>CERRADA</t>
        </is>
      </c>
      <c r="E266" s="16" t="inlineStr">
        <is>
          <t>PAGADA</t>
        </is>
      </c>
      <c r="F266" s="16" t="inlineStr">
        <is>
          <t>Servicio</t>
        </is>
      </c>
      <c r="G266" s="16" t="inlineStr">
        <is>
          <t>Baños Portátiles</t>
        </is>
      </c>
      <c r="H266" s="16" t="inlineStr">
        <is>
          <t>ALQUILER DE BAÑO PORTATIL - UND</t>
        </is>
      </c>
      <c r="I266" s="43" t="n">
        <v>1</v>
      </c>
      <c r="J266" s="44" t="n">
        <v>799500</v>
      </c>
      <c r="K266" s="44" t="n">
        <v>799500</v>
      </c>
      <c r="L266" s="16" t="inlineStr"/>
      <c r="M266" s="44" t="n">
        <v>0</v>
      </c>
      <c r="N266" s="44">
        <f>K266+M266</f>
        <v/>
      </c>
      <c r="O266" s="16" t="inlineStr">
        <is>
          <t>JULIO CESAR DEAVILA MARTINEZ</t>
        </is>
      </c>
      <c r="P266" s="16" t="inlineStr">
        <is>
          <t>HOOVER ANTONIO GUACHAVES LASSO</t>
        </is>
      </c>
      <c r="Q266" s="16" t="inlineStr">
        <is>
          <t>URGENCIA</t>
        </is>
      </c>
      <c r="R266" s="16" t="inlineStr">
        <is>
          <t>MINI GRANJAS</t>
        </is>
      </c>
      <c r="S266" s="16" t="inlineStr">
        <is>
          <t>CUENTA DE COBRO POLARIS 4 y EVOLTI 1</t>
        </is>
      </c>
      <c r="T266" s="16" t="inlineStr">
        <is>
          <t>Baños y sanitarios portátiles</t>
        </is>
      </c>
    </row>
    <row r="267">
      <c r="A267" s="45" t="n">
        <v>45979.41858796297</v>
      </c>
      <c r="B267" s="18" t="n">
        <v>1130</v>
      </c>
      <c r="C267" s="18" t="n">
        <v>847</v>
      </c>
      <c r="D267" s="18" t="inlineStr">
        <is>
          <t>CERRADA</t>
        </is>
      </c>
      <c r="E267" s="18" t="inlineStr">
        <is>
          <t>PAGADA</t>
        </is>
      </c>
      <c r="F267" s="18" t="inlineStr">
        <is>
          <t>Gastos Administrativos</t>
        </is>
      </c>
      <c r="G267" s="18" t="inlineStr">
        <is>
          <t>Logística Viáticos</t>
        </is>
      </c>
      <c r="H267" s="18" t="inlineStr">
        <is>
          <t>SERVICIO DE RESTAURANTE - UND</t>
        </is>
      </c>
      <c r="I267" s="46" t="n">
        <v>34</v>
      </c>
      <c r="J267" s="47" t="n">
        <v>10363</v>
      </c>
      <c r="K267" s="47" t="n">
        <v>352342</v>
      </c>
      <c r="L267" s="18" t="inlineStr"/>
      <c r="M267" s="47" t="n">
        <v>0</v>
      </c>
      <c r="N267" s="47">
        <f>K267+M267</f>
        <v/>
      </c>
      <c r="O267" s="18" t="inlineStr">
        <is>
          <t>JULIO CESAR DEAVILA MARTINEZ</t>
        </is>
      </c>
      <c r="P267" s="18" t="inlineStr">
        <is>
          <t>MAYERLINE TOBAR GOMEZ</t>
        </is>
      </c>
      <c r="Q267" s="18" t="inlineStr">
        <is>
          <t>PLANEADA</t>
        </is>
      </c>
      <c r="R267" s="18" t="inlineStr">
        <is>
          <t>MINI GRANJAS</t>
        </is>
      </c>
      <c r="S267" s="18" t="inlineStr">
        <is>
          <t>FE1313</t>
        </is>
      </c>
      <c r="T267" s="18" t="inlineStr">
        <is>
          <t>Viáticos - Alimentación</t>
        </is>
      </c>
    </row>
    <row r="268">
      <c r="A268" s="42" t="n">
        <v>45979.41858796297</v>
      </c>
      <c r="B268" s="16" t="n">
        <v>1130</v>
      </c>
      <c r="C268" s="16" t="n">
        <v>847</v>
      </c>
      <c r="D268" s="16" t="inlineStr">
        <is>
          <t>CERRADA</t>
        </is>
      </c>
      <c r="E268" s="16" t="inlineStr">
        <is>
          <t>PAGADA</t>
        </is>
      </c>
      <c r="F268" s="16" t="inlineStr">
        <is>
          <t>Gastos Administrativos</t>
        </is>
      </c>
      <c r="G268" s="16" t="inlineStr">
        <is>
          <t>Logística Viáticos</t>
        </is>
      </c>
      <c r="H268" s="16" t="inlineStr">
        <is>
          <t>SERVICIO DE RESTAURANTE - UND</t>
        </is>
      </c>
      <c r="I268" s="43" t="n">
        <v>35</v>
      </c>
      <c r="J268" s="44" t="n">
        <v>12435</v>
      </c>
      <c r="K268" s="44" t="n">
        <v>435225</v>
      </c>
      <c r="L268" s="16" t="inlineStr"/>
      <c r="M268" s="44" t="n">
        <v>0</v>
      </c>
      <c r="N268" s="44">
        <f>K268+M268</f>
        <v/>
      </c>
      <c r="O268" s="16" t="inlineStr">
        <is>
          <t>JULIO CESAR DEAVILA MARTINEZ</t>
        </is>
      </c>
      <c r="P268" s="16" t="inlineStr">
        <is>
          <t>MAYERLINE TOBAR GOMEZ</t>
        </is>
      </c>
      <c r="Q268" s="16" t="inlineStr">
        <is>
          <t>PLANEADA</t>
        </is>
      </c>
      <c r="R268" s="16" t="inlineStr">
        <is>
          <t>MINI GRANJAS</t>
        </is>
      </c>
      <c r="S268" s="16" t="inlineStr">
        <is>
          <t>FE1313</t>
        </is>
      </c>
      <c r="T268" s="16" t="inlineStr">
        <is>
          <t>Viáticos - Alimentación</t>
        </is>
      </c>
    </row>
    <row r="269">
      <c r="A269" s="45" t="n">
        <v>45979.41858796297</v>
      </c>
      <c r="B269" s="18" t="n">
        <v>1130</v>
      </c>
      <c r="C269" s="18" t="n">
        <v>847</v>
      </c>
      <c r="D269" s="18" t="inlineStr">
        <is>
          <t>CERRADA</t>
        </is>
      </c>
      <c r="E269" s="18" t="inlineStr">
        <is>
          <t>PAGADA</t>
        </is>
      </c>
      <c r="F269" s="18" t="inlineStr">
        <is>
          <t>Gastos Administrativos</t>
        </is>
      </c>
      <c r="G269" s="18" t="inlineStr">
        <is>
          <t>Logística Viáticos</t>
        </is>
      </c>
      <c r="H269" s="18" t="inlineStr">
        <is>
          <t>SERVICIO DE RESTAURANTE - UND</t>
        </is>
      </c>
      <c r="I269" s="46" t="n">
        <v>35</v>
      </c>
      <c r="J269" s="47" t="n">
        <v>12435</v>
      </c>
      <c r="K269" s="47" t="n">
        <v>435225</v>
      </c>
      <c r="L269" s="18" t="inlineStr"/>
      <c r="M269" s="47" t="n">
        <v>0</v>
      </c>
      <c r="N269" s="47">
        <f>K269+M269</f>
        <v/>
      </c>
      <c r="O269" s="18" t="inlineStr">
        <is>
          <t>JULIO CESAR DEAVILA MARTINEZ</t>
        </is>
      </c>
      <c r="P269" s="18" t="inlineStr">
        <is>
          <t>MAYERLINE TOBAR GOMEZ</t>
        </is>
      </c>
      <c r="Q269" s="18" t="inlineStr">
        <is>
          <t>PLANEADA</t>
        </is>
      </c>
      <c r="R269" s="18" t="inlineStr">
        <is>
          <t>MINI GRANJAS</t>
        </is>
      </c>
      <c r="S269" s="18" t="inlineStr">
        <is>
          <t>FE1313</t>
        </is>
      </c>
      <c r="T269" s="18" t="inlineStr">
        <is>
          <t>Viáticos - Alimentación</t>
        </is>
      </c>
    </row>
    <row r="270">
      <c r="A270" s="42" t="n">
        <v>45973.45778935185</v>
      </c>
      <c r="B270" s="16" t="n">
        <v>1073</v>
      </c>
      <c r="C270" s="16" t="n">
        <v>787</v>
      </c>
      <c r="D270" s="16" t="inlineStr">
        <is>
          <t>CERRADA</t>
        </is>
      </c>
      <c r="E270" s="16" t="inlineStr">
        <is>
          <t>PAGADA</t>
        </is>
      </c>
      <c r="F270" s="16" t="inlineStr">
        <is>
          <t>Servicio</t>
        </is>
      </c>
      <c r="G270" s="16" t="inlineStr">
        <is>
          <t>Logística Viáticos</t>
        </is>
      </c>
      <c r="H270" s="16" t="inlineStr">
        <is>
          <t>SERVICIO DE COMEDOR / RESTAURANTE - UND</t>
        </is>
      </c>
      <c r="I270" s="43" t="n">
        <v>22</v>
      </c>
      <c r="J270" s="44" t="n">
        <v>10363</v>
      </c>
      <c r="K270" s="44" t="n">
        <v>227986</v>
      </c>
      <c r="L270" s="16" t="inlineStr"/>
      <c r="M270" s="44" t="n">
        <v>0</v>
      </c>
      <c r="N270" s="44">
        <f>K270+M270</f>
        <v/>
      </c>
      <c r="O270" s="16" t="inlineStr">
        <is>
          <t>JULIO CESAR DEAVILA MARTINEZ</t>
        </is>
      </c>
      <c r="P270" s="16" t="inlineStr">
        <is>
          <t>MAYERLINE TOBAR GOMEZ</t>
        </is>
      </c>
      <c r="Q270" s="16" t="inlineStr">
        <is>
          <t>PLANEADA</t>
        </is>
      </c>
      <c r="R270" s="16" t="inlineStr">
        <is>
          <t>MINI GRANJAS</t>
        </is>
      </c>
      <c r="S270" s="16" t="inlineStr">
        <is>
          <t>FE1249</t>
        </is>
      </c>
      <c r="T270" s="16" t="inlineStr">
        <is>
          <t>Viáticos - Alimentación</t>
        </is>
      </c>
    </row>
    <row r="271">
      <c r="A271" s="45" t="n">
        <v>45973.45778935185</v>
      </c>
      <c r="B271" s="18" t="n">
        <v>1073</v>
      </c>
      <c r="C271" s="18" t="n">
        <v>787</v>
      </c>
      <c r="D271" s="18" t="inlineStr">
        <is>
          <t>CERRADA</t>
        </is>
      </c>
      <c r="E271" s="18" t="inlineStr">
        <is>
          <t>PAGADA</t>
        </is>
      </c>
      <c r="F271" s="18" t="inlineStr">
        <is>
          <t>Servicio</t>
        </is>
      </c>
      <c r="G271" s="18" t="inlineStr">
        <is>
          <t>Logística Viáticos</t>
        </is>
      </c>
      <c r="H271" s="18" t="inlineStr">
        <is>
          <t>SERVICIO DE COMEDOR / RESTAURANTE - UND</t>
        </is>
      </c>
      <c r="I271" s="46" t="n">
        <v>23</v>
      </c>
      <c r="J271" s="47" t="n">
        <v>12435</v>
      </c>
      <c r="K271" s="47" t="n">
        <v>286005</v>
      </c>
      <c r="L271" s="18" t="inlineStr"/>
      <c r="M271" s="47" t="n">
        <v>0</v>
      </c>
      <c r="N271" s="47">
        <f>K271+M271</f>
        <v/>
      </c>
      <c r="O271" s="18" t="inlineStr">
        <is>
          <t>JULIO CESAR DEAVILA MARTINEZ</t>
        </is>
      </c>
      <c r="P271" s="18" t="inlineStr">
        <is>
          <t>MAYERLINE TOBAR GOMEZ</t>
        </is>
      </c>
      <c r="Q271" s="18" t="inlineStr">
        <is>
          <t>PLANEADA</t>
        </is>
      </c>
      <c r="R271" s="18" t="inlineStr">
        <is>
          <t>MINI GRANJAS</t>
        </is>
      </c>
      <c r="S271" s="18" t="inlineStr">
        <is>
          <t>FE1249</t>
        </is>
      </c>
      <c r="T271" s="18" t="inlineStr">
        <is>
          <t>Viáticos - Alimentación</t>
        </is>
      </c>
    </row>
    <row r="272">
      <c r="A272" s="42" t="n">
        <v>45973.45778935185</v>
      </c>
      <c r="B272" s="16" t="n">
        <v>1073</v>
      </c>
      <c r="C272" s="16" t="n">
        <v>787</v>
      </c>
      <c r="D272" s="16" t="inlineStr">
        <is>
          <t>CERRADA</t>
        </is>
      </c>
      <c r="E272" s="16" t="inlineStr">
        <is>
          <t>PAGADA</t>
        </is>
      </c>
      <c r="F272" s="16" t="inlineStr">
        <is>
          <t>Servicio</t>
        </is>
      </c>
      <c r="G272" s="16" t="inlineStr">
        <is>
          <t>Logística Viáticos</t>
        </is>
      </c>
      <c r="H272" s="16" t="inlineStr">
        <is>
          <t>SERVICIO DE COMEDOR / RESTAURANTE - UND</t>
        </is>
      </c>
      <c r="I272" s="43" t="n">
        <v>20</v>
      </c>
      <c r="J272" s="44" t="n">
        <v>12435</v>
      </c>
      <c r="K272" s="44" t="n">
        <v>248700</v>
      </c>
      <c r="L272" s="16" t="inlineStr"/>
      <c r="M272" s="44" t="n">
        <v>0</v>
      </c>
      <c r="N272" s="44">
        <f>K272+M272</f>
        <v/>
      </c>
      <c r="O272" s="16" t="inlineStr">
        <is>
          <t>JULIO CESAR DEAVILA MARTINEZ</t>
        </is>
      </c>
      <c r="P272" s="16" t="inlineStr">
        <is>
          <t>MAYERLINE TOBAR GOMEZ</t>
        </is>
      </c>
      <c r="Q272" s="16" t="inlineStr">
        <is>
          <t>PLANEADA</t>
        </is>
      </c>
      <c r="R272" s="16" t="inlineStr">
        <is>
          <t>MINI GRANJAS</t>
        </is>
      </c>
      <c r="S272" s="16" t="inlineStr">
        <is>
          <t>FE1249</t>
        </is>
      </c>
      <c r="T272" s="16" t="inlineStr">
        <is>
          <t>Viáticos - Alimentación</t>
        </is>
      </c>
    </row>
    <row r="273">
      <c r="A273" s="45" t="n">
        <v>45973.45679398148</v>
      </c>
      <c r="B273" s="18" t="n">
        <v>1071</v>
      </c>
      <c r="C273" s="18" t="n">
        <v>789</v>
      </c>
      <c r="D273" s="18" t="inlineStr">
        <is>
          <t>CERRADA</t>
        </is>
      </c>
      <c r="E273" s="18" t="inlineStr">
        <is>
          <t>PAGADA</t>
        </is>
      </c>
      <c r="F273" s="18" t="inlineStr">
        <is>
          <t>Servicio</t>
        </is>
      </c>
      <c r="G273" s="18" t="inlineStr">
        <is>
          <t>Logística Viáticos</t>
        </is>
      </c>
      <c r="H273" s="18" t="inlineStr">
        <is>
          <t>SERVICIO DE HOTEL - UND</t>
        </is>
      </c>
      <c r="I273" s="46" t="n">
        <v>15</v>
      </c>
      <c r="J273" s="47" t="n">
        <v>17271.2</v>
      </c>
      <c r="K273" s="47" t="n">
        <v>259068</v>
      </c>
      <c r="L273" s="18" t="inlineStr"/>
      <c r="M273" s="47" t="n">
        <v>0</v>
      </c>
      <c r="N273" s="47">
        <f>K273+M273</f>
        <v/>
      </c>
      <c r="O273" s="18" t="inlineStr">
        <is>
          <t>JULIO CESAR DEAVILA MARTINEZ</t>
        </is>
      </c>
      <c r="P273" s="18" t="inlineStr">
        <is>
          <t>MAYERLINE TOBAR GOMEZ</t>
        </is>
      </c>
      <c r="Q273" s="18" t="inlineStr">
        <is>
          <t>PLANEADA</t>
        </is>
      </c>
      <c r="R273" s="18" t="inlineStr">
        <is>
          <t>MINI GRANJAS</t>
        </is>
      </c>
      <c r="S273" s="18" t="inlineStr">
        <is>
          <t>FE1253</t>
        </is>
      </c>
      <c r="T273" s="18" t="inlineStr">
        <is>
          <t>Viáticos - Hospedaje</t>
        </is>
      </c>
    </row>
    <row r="274">
      <c r="A274" s="42" t="n">
        <v>45968.60449074074</v>
      </c>
      <c r="B274" s="16" t="n">
        <v>1034</v>
      </c>
      <c r="C274" s="16" t="n">
        <v>790</v>
      </c>
      <c r="D274" s="16" t="inlineStr">
        <is>
          <t>CERRADA</t>
        </is>
      </c>
      <c r="E274" s="16" t="inlineStr">
        <is>
          <t>PAGADA</t>
        </is>
      </c>
      <c r="F274" s="16" t="inlineStr">
        <is>
          <t>Servicio</t>
        </is>
      </c>
      <c r="G274" s="16" t="inlineStr">
        <is>
          <t>Logística Viáticos</t>
        </is>
      </c>
      <c r="H274" s="16" t="inlineStr">
        <is>
          <t>SERVICIO DE HOTEL - UND</t>
        </is>
      </c>
      <c r="I274" s="43" t="n">
        <v>16</v>
      </c>
      <c r="J274" s="44" t="n">
        <v>17273.3</v>
      </c>
      <c r="K274" s="44" t="n">
        <v>276372.8</v>
      </c>
      <c r="L274" s="16" t="inlineStr"/>
      <c r="M274" s="44" t="n">
        <v>0</v>
      </c>
      <c r="N274" s="44">
        <f>K274+M274</f>
        <v/>
      </c>
      <c r="O274" s="16" t="inlineStr">
        <is>
          <t>JULIO CESAR DEAVILA MARTINEZ</t>
        </is>
      </c>
      <c r="P274" s="16" t="inlineStr">
        <is>
          <t>MAYERLINE TOBAR GOMEZ</t>
        </is>
      </c>
      <c r="Q274" s="16" t="inlineStr">
        <is>
          <t>PLANEADA</t>
        </is>
      </c>
      <c r="R274" s="16" t="inlineStr">
        <is>
          <t>MINI GRANJAS</t>
        </is>
      </c>
      <c r="S274" s="16" t="inlineStr">
        <is>
          <t>FE1255</t>
        </is>
      </c>
      <c r="T274" s="16" t="inlineStr">
        <is>
          <t>Viáticos - Hospedaje</t>
        </is>
      </c>
    </row>
    <row r="275">
      <c r="A275" s="45" t="n">
        <v>45961.66335648148</v>
      </c>
      <c r="B275" s="18" t="n">
        <v>989</v>
      </c>
      <c r="C275" s="18" t="n">
        <v>738</v>
      </c>
      <c r="D275" s="18" t="inlineStr">
        <is>
          <t>CERRADA</t>
        </is>
      </c>
      <c r="E275" s="18" t="inlineStr">
        <is>
          <t>PAGADA</t>
        </is>
      </c>
      <c r="F275" s="18" t="inlineStr">
        <is>
          <t>Cajas De Paso</t>
        </is>
      </c>
      <c r="G275" s="18" t="inlineStr">
        <is>
          <t>(Sin Subgrupo)</t>
        </is>
      </c>
      <c r="H275" s="18" t="inlineStr">
        <is>
          <t>ARENA DE TRITURACIÓN - M3</t>
        </is>
      </c>
      <c r="I275" s="46" t="n">
        <v>7</v>
      </c>
      <c r="J275" s="47" t="n">
        <v>90000</v>
      </c>
      <c r="K275" s="47" t="n">
        <v>630000</v>
      </c>
      <c r="L275" s="18" t="inlineStr"/>
      <c r="M275" s="47" t="n">
        <v>0</v>
      </c>
      <c r="N275" s="47">
        <f>K275+M275</f>
        <v/>
      </c>
      <c r="O275" s="18" t="inlineStr">
        <is>
          <t>JULIO CESAR DEAVILA MARTINEZ</t>
        </is>
      </c>
      <c r="P275" s="18" t="inlineStr">
        <is>
          <t>CAMPO HELMER PORTILLO PORTILLA</t>
        </is>
      </c>
      <c r="Q275" s="18" t="inlineStr">
        <is>
          <t>PLANEADA</t>
        </is>
      </c>
      <c r="R275" s="18" t="inlineStr">
        <is>
          <t>MINI GRANJAS</t>
        </is>
      </c>
      <c r="S275" s="18" t="inlineStr">
        <is>
          <t>COT 0095</t>
        </is>
      </c>
      <c r="T275" s="18" t="inlineStr">
        <is>
          <t>Obra civil (concreto, agregados)</t>
        </is>
      </c>
    </row>
    <row r="276">
      <c r="A276" s="42" t="n">
        <v>45961.66335648148</v>
      </c>
      <c r="B276" s="16" t="n">
        <v>989</v>
      </c>
      <c r="C276" s="16" t="n">
        <v>738</v>
      </c>
      <c r="D276" s="16" t="inlineStr">
        <is>
          <t>CERRADA</t>
        </is>
      </c>
      <c r="E276" s="16" t="inlineStr">
        <is>
          <t>PAGADA</t>
        </is>
      </c>
      <c r="F276" s="16" t="inlineStr">
        <is>
          <t>Cajas De Paso</t>
        </is>
      </c>
      <c r="G276" s="16" t="inlineStr">
        <is>
          <t>(Sin Subgrupo)</t>
        </is>
      </c>
      <c r="H276" s="16" t="inlineStr">
        <is>
          <t>TRITURADO FINO METRO CUBICO - UND</t>
        </is>
      </c>
      <c r="I276" s="43" t="n">
        <v>7</v>
      </c>
      <c r="J276" s="44" t="n">
        <v>164000</v>
      </c>
      <c r="K276" s="44" t="n">
        <v>1148000</v>
      </c>
      <c r="L276" s="16" t="inlineStr"/>
      <c r="M276" s="44" t="n">
        <v>0</v>
      </c>
      <c r="N276" s="44">
        <f>K276+M276</f>
        <v/>
      </c>
      <c r="O276" s="16" t="inlineStr">
        <is>
          <t>JULIO CESAR DEAVILA MARTINEZ</t>
        </is>
      </c>
      <c r="P276" s="16" t="inlineStr">
        <is>
          <t>CAMPO HELMER PORTILLO PORTILLA</t>
        </is>
      </c>
      <c r="Q276" s="16" t="inlineStr">
        <is>
          <t>PLANEADA</t>
        </is>
      </c>
      <c r="R276" s="16" t="inlineStr">
        <is>
          <t>MINI GRANJAS</t>
        </is>
      </c>
      <c r="S276" s="16" t="inlineStr">
        <is>
          <t>COT 0095</t>
        </is>
      </c>
      <c r="T276" s="16" t="inlineStr">
        <is>
          <t>Obra civil (concreto, agregados)</t>
        </is>
      </c>
    </row>
    <row r="277">
      <c r="A277" s="45" t="n">
        <v>45957.75888888889</v>
      </c>
      <c r="B277" s="18" t="n">
        <v>942</v>
      </c>
      <c r="C277" s="18" t="n">
        <v>709</v>
      </c>
      <c r="D277" s="18" t="inlineStr">
        <is>
          <t>CERRADA</t>
        </is>
      </c>
      <c r="E277" s="18" t="inlineStr">
        <is>
          <t>PAGADA</t>
        </is>
      </c>
      <c r="F277" s="18" t="inlineStr">
        <is>
          <t>C. Estructura Solar</t>
        </is>
      </c>
      <c r="G277" s="18" t="inlineStr">
        <is>
          <t>(Sin Subgrupo)</t>
        </is>
      </c>
      <c r="H277" s="18" t="inlineStr">
        <is>
          <t>ESTRUCTURA SOLAR TIPO GRANJA - TIPO DE  MESA 2PV14 PARA 28 PANELES - UND</t>
        </is>
      </c>
      <c r="I277" s="46" t="n">
        <v>86</v>
      </c>
      <c r="J277" s="47" t="n">
        <v>3640514.75</v>
      </c>
      <c r="K277" s="47" t="n">
        <v>313084268</v>
      </c>
      <c r="L277" s="18" t="inlineStr">
        <is>
          <t>IVA 19%</t>
        </is>
      </c>
      <c r="M277" s="47" t="n">
        <v>59486011</v>
      </c>
      <c r="N277" s="47">
        <f>K277+M277</f>
        <v/>
      </c>
      <c r="O277" s="18" t="inlineStr">
        <is>
          <t>JULIO CESAR DEAVILA MARTINEZ</t>
        </is>
      </c>
      <c r="P277" s="18" t="inlineStr">
        <is>
          <t>ALURACK S.A.S.</t>
        </is>
      </c>
      <c r="Q277" s="18" t="inlineStr">
        <is>
          <t>PLANEADA</t>
        </is>
      </c>
      <c r="R277" s="18" t="inlineStr">
        <is>
          <t>MINI GRANJAS</t>
        </is>
      </c>
      <c r="S277" s="18" t="inlineStr">
        <is>
          <t>4314001177</t>
        </is>
      </c>
      <c r="T277" s="18" t="inlineStr">
        <is>
          <t>Estructura y soportería solar</t>
        </is>
      </c>
    </row>
    <row r="278">
      <c r="A278" s="42" t="n">
        <v>45953.40708333333</v>
      </c>
      <c r="B278" s="16" t="n">
        <v>907</v>
      </c>
      <c r="C278" s="16" t="n">
        <v>698</v>
      </c>
      <c r="D278" s="16" t="inlineStr">
        <is>
          <t>CERRADA</t>
        </is>
      </c>
      <c r="E278" s="16" t="inlineStr">
        <is>
          <t>PAGADA</t>
        </is>
      </c>
      <c r="F278" s="16" t="inlineStr">
        <is>
          <t>Cajas De Paso</t>
        </is>
      </c>
      <c r="G278" s="16" t="inlineStr">
        <is>
          <t>(Sin Subgrupo)</t>
        </is>
      </c>
      <c r="H278" s="16" t="inlineStr">
        <is>
          <t>DISCO CORTE METAL 4.1/2  (S-17)  UND DEWALT - UND</t>
        </is>
      </c>
      <c r="I278" s="43" t="n">
        <v>10</v>
      </c>
      <c r="J278" s="44" t="n">
        <v>4500</v>
      </c>
      <c r="K278" s="44" t="n">
        <v>45000</v>
      </c>
      <c r="L278" s="16" t="inlineStr"/>
      <c r="M278" s="44" t="n">
        <v>0</v>
      </c>
      <c r="N278" s="44">
        <f>K278+M278</f>
        <v/>
      </c>
      <c r="O278" s="16" t="inlineStr">
        <is>
          <t>JULIO CESAR DEAVILA MARTINEZ</t>
        </is>
      </c>
      <c r="P278" s="16" t="inlineStr">
        <is>
          <t>DILIANA HINOJOSA INFANTE (DISTRIBUIDORA DE MATERIALES DYD)</t>
        </is>
      </c>
      <c r="Q278" s="16" t="inlineStr">
        <is>
          <t>PLANEADA</t>
        </is>
      </c>
      <c r="R278" s="16" t="inlineStr">
        <is>
          <t>MINI GRANJAS</t>
        </is>
      </c>
      <c r="S278" s="16" t="inlineStr">
        <is>
          <t>COT 48</t>
        </is>
      </c>
      <c r="T278" s="16" t="inlineStr">
        <is>
          <t>Otros / sin clasificar</t>
        </is>
      </c>
    </row>
    <row r="279">
      <c r="A279" s="45" t="n">
        <v>45953.40708333333</v>
      </c>
      <c r="B279" s="18" t="n">
        <v>907</v>
      </c>
      <c r="C279" s="18" t="n">
        <v>698</v>
      </c>
      <c r="D279" s="18" t="inlineStr">
        <is>
          <t>CERRADA</t>
        </is>
      </c>
      <c r="E279" s="18" t="inlineStr">
        <is>
          <t>PAGADA</t>
        </is>
      </c>
      <c r="F279" s="18" t="inlineStr">
        <is>
          <t>Cajas De Paso</t>
        </is>
      </c>
      <c r="G279" s="18" t="inlineStr">
        <is>
          <t>(Sin Subgrupo)</t>
        </is>
      </c>
      <c r="H279" s="18" t="inlineStr">
        <is>
          <t>ALAMBRE DE AMARRE X KG - UND</t>
        </is>
      </c>
      <c r="I279" s="46" t="n">
        <v>18</v>
      </c>
      <c r="J279" s="47" t="n">
        <v>5700</v>
      </c>
      <c r="K279" s="47" t="n">
        <v>102600</v>
      </c>
      <c r="L279" s="18" t="inlineStr"/>
      <c r="M279" s="47" t="n">
        <v>0</v>
      </c>
      <c r="N279" s="47">
        <f>K279+M279</f>
        <v/>
      </c>
      <c r="O279" s="18" t="inlineStr">
        <is>
          <t>JULIO CESAR DEAVILA MARTINEZ</t>
        </is>
      </c>
      <c r="P279" s="18" t="inlineStr">
        <is>
          <t>DILIANA HINOJOSA INFANTE (DISTRIBUIDORA DE MATERIALES DYD)</t>
        </is>
      </c>
      <c r="Q279" s="18" t="inlineStr">
        <is>
          <t>PLANEADA</t>
        </is>
      </c>
      <c r="R279" s="18" t="inlineStr">
        <is>
          <t>MINI GRANJAS</t>
        </is>
      </c>
      <c r="S279" s="18" t="inlineStr">
        <is>
          <t>COT 48</t>
        </is>
      </c>
      <c r="T279" s="18" t="inlineStr">
        <is>
          <t>Cableado y conductores</t>
        </is>
      </c>
    </row>
    <row r="280">
      <c r="A280" s="42" t="n">
        <v>45953.40708333333</v>
      </c>
      <c r="B280" s="16" t="n">
        <v>907</v>
      </c>
      <c r="C280" s="16" t="n">
        <v>698</v>
      </c>
      <c r="D280" s="16" t="inlineStr">
        <is>
          <t>CERRADA</t>
        </is>
      </c>
      <c r="E280" s="16" t="inlineStr">
        <is>
          <t>PAGADA</t>
        </is>
      </c>
      <c r="F280" s="16" t="inlineStr">
        <is>
          <t>Cajas De Paso</t>
        </is>
      </c>
      <c r="G280" s="16" t="inlineStr">
        <is>
          <t>(Sin Subgrupo)</t>
        </is>
      </c>
      <c r="H280" s="16" t="inlineStr">
        <is>
          <t>DISCO CORTE METAL X 7" - UND</t>
        </is>
      </c>
      <c r="I280" s="43" t="n">
        <v>10</v>
      </c>
      <c r="J280" s="44" t="n">
        <v>7800</v>
      </c>
      <c r="K280" s="44" t="n">
        <v>78000</v>
      </c>
      <c r="L280" s="16" t="inlineStr"/>
      <c r="M280" s="44" t="n">
        <v>0</v>
      </c>
      <c r="N280" s="44">
        <f>K280+M280</f>
        <v/>
      </c>
      <c r="O280" s="16" t="inlineStr">
        <is>
          <t>JULIO CESAR DEAVILA MARTINEZ</t>
        </is>
      </c>
      <c r="P280" s="16" t="inlineStr">
        <is>
          <t>DILIANA HINOJOSA INFANTE (DISTRIBUIDORA DE MATERIALES DYD)</t>
        </is>
      </c>
      <c r="Q280" s="16" t="inlineStr">
        <is>
          <t>PLANEADA</t>
        </is>
      </c>
      <c r="R280" s="16" t="inlineStr">
        <is>
          <t>MINI GRANJAS</t>
        </is>
      </c>
      <c r="S280" s="16" t="inlineStr">
        <is>
          <t>COT 48</t>
        </is>
      </c>
      <c r="T280" s="16" t="inlineStr">
        <is>
          <t>Otros / sin clasificar</t>
        </is>
      </c>
    </row>
    <row r="281">
      <c r="A281" s="45" t="n">
        <v>45953.40708333333</v>
      </c>
      <c r="B281" s="18" t="n">
        <v>907</v>
      </c>
      <c r="C281" s="18" t="n">
        <v>698</v>
      </c>
      <c r="D281" s="18" t="inlineStr">
        <is>
          <t>CERRADA</t>
        </is>
      </c>
      <c r="E281" s="18" t="inlineStr">
        <is>
          <t>PAGADA</t>
        </is>
      </c>
      <c r="F281" s="18" t="inlineStr">
        <is>
          <t>Cajas De Paso</t>
        </is>
      </c>
      <c r="G281" s="18" t="inlineStr">
        <is>
          <t>(Sin Subgrupo)</t>
        </is>
      </c>
      <c r="H281" s="18" t="inlineStr">
        <is>
          <t>LISTON DE MADERA 4 X 4 X 300 CM - UND</t>
        </is>
      </c>
      <c r="I281" s="46" t="n">
        <v>30</v>
      </c>
      <c r="J281" s="47" t="n">
        <v>9500</v>
      </c>
      <c r="K281" s="47" t="n">
        <v>285000</v>
      </c>
      <c r="L281" s="18" t="inlineStr"/>
      <c r="M281" s="47" t="n">
        <v>0</v>
      </c>
      <c r="N281" s="47">
        <f>K281+M281</f>
        <v/>
      </c>
      <c r="O281" s="18" t="inlineStr">
        <is>
          <t>JULIO CESAR DEAVILA MARTINEZ</t>
        </is>
      </c>
      <c r="P281" s="18" t="inlineStr">
        <is>
          <t>DILIANA HINOJOSA INFANTE (DISTRIBUIDORA DE MATERIALES DYD)</t>
        </is>
      </c>
      <c r="Q281" s="18" t="inlineStr">
        <is>
          <t>PLANEADA</t>
        </is>
      </c>
      <c r="R281" s="18" t="inlineStr">
        <is>
          <t>MINI GRANJAS</t>
        </is>
      </c>
      <c r="S281" s="18" t="inlineStr">
        <is>
          <t>COT 48</t>
        </is>
      </c>
      <c r="T281" s="18" t="inlineStr">
        <is>
          <t>Otros / sin clasificar</t>
        </is>
      </c>
    </row>
    <row r="282">
      <c r="A282" s="42" t="n">
        <v>45953.40708333333</v>
      </c>
      <c r="B282" s="16" t="n">
        <v>907</v>
      </c>
      <c r="C282" s="16" t="n">
        <v>698</v>
      </c>
      <c r="D282" s="16" t="inlineStr">
        <is>
          <t>CERRADA</t>
        </is>
      </c>
      <c r="E282" s="16" t="inlineStr">
        <is>
          <t>PAGADA</t>
        </is>
      </c>
      <c r="F282" s="16" t="inlineStr">
        <is>
          <t>Cajas De Paso</t>
        </is>
      </c>
      <c r="G282" s="16" t="inlineStr">
        <is>
          <t>(Sin Subgrupo)</t>
        </is>
      </c>
      <c r="H282" s="16" t="inlineStr">
        <is>
          <t>PUNTILLA LISA DE HIERRO X 2" - UND</t>
        </is>
      </c>
      <c r="I282" s="43" t="n">
        <v>4</v>
      </c>
      <c r="J282" s="44" t="n">
        <v>9500</v>
      </c>
      <c r="K282" s="44" t="n">
        <v>38000</v>
      </c>
      <c r="L282" s="16" t="inlineStr"/>
      <c r="M282" s="44" t="n">
        <v>0</v>
      </c>
      <c r="N282" s="44">
        <f>K282+M282</f>
        <v/>
      </c>
      <c r="O282" s="16" t="inlineStr">
        <is>
          <t>JULIO CESAR DEAVILA MARTINEZ</t>
        </is>
      </c>
      <c r="P282" s="16" t="inlineStr">
        <is>
          <t>DILIANA HINOJOSA INFANTE (DISTRIBUIDORA DE MATERIALES DYD)</t>
        </is>
      </c>
      <c r="Q282" s="16" t="inlineStr">
        <is>
          <t>PLANEADA</t>
        </is>
      </c>
      <c r="R282" s="16" t="inlineStr">
        <is>
          <t>MINI GRANJAS</t>
        </is>
      </c>
      <c r="S282" s="16" t="inlineStr">
        <is>
          <t>COT 48</t>
        </is>
      </c>
      <c r="T282" s="16" t="inlineStr">
        <is>
          <t>Otros / sin clasificar</t>
        </is>
      </c>
    </row>
    <row r="283">
      <c r="A283" s="45" t="n">
        <v>45953.40708333333</v>
      </c>
      <c r="B283" s="18" t="n">
        <v>907</v>
      </c>
      <c r="C283" s="18" t="n">
        <v>698</v>
      </c>
      <c r="D283" s="18" t="inlineStr">
        <is>
          <t>CERRADA</t>
        </is>
      </c>
      <c r="E283" s="18" t="inlineStr">
        <is>
          <t>PAGADA</t>
        </is>
      </c>
      <c r="F283" s="18" t="inlineStr">
        <is>
          <t>Cajas De Paso</t>
        </is>
      </c>
      <c r="G283" s="18" t="inlineStr">
        <is>
          <t>(Sin Subgrupo)</t>
        </is>
      </c>
      <c r="H283" s="18" t="inlineStr">
        <is>
          <t>PUNTILLA LISA DE HIERRO 3” BLANCA X LIBRA - UND</t>
        </is>
      </c>
      <c r="I283" s="46" t="n">
        <v>4</v>
      </c>
      <c r="J283" s="47" t="n">
        <v>10500</v>
      </c>
      <c r="K283" s="47" t="n">
        <v>42000</v>
      </c>
      <c r="L283" s="18" t="inlineStr"/>
      <c r="M283" s="47" t="n">
        <v>0</v>
      </c>
      <c r="N283" s="47">
        <f>K283+M283</f>
        <v/>
      </c>
      <c r="O283" s="18" t="inlineStr">
        <is>
          <t>JULIO CESAR DEAVILA MARTINEZ</t>
        </is>
      </c>
      <c r="P283" s="18" t="inlineStr">
        <is>
          <t>DILIANA HINOJOSA INFANTE (DISTRIBUIDORA DE MATERIALES DYD)</t>
        </is>
      </c>
      <c r="Q283" s="18" t="inlineStr">
        <is>
          <t>PLANEADA</t>
        </is>
      </c>
      <c r="R283" s="18" t="inlineStr">
        <is>
          <t>MINI GRANJAS</t>
        </is>
      </c>
      <c r="S283" s="18" t="inlineStr">
        <is>
          <t>COT 48</t>
        </is>
      </c>
      <c r="T283" s="18" t="inlineStr">
        <is>
          <t>Otros / sin clasificar</t>
        </is>
      </c>
    </row>
    <row r="284">
      <c r="A284" s="42" t="n">
        <v>45953.40708333333</v>
      </c>
      <c r="B284" s="16" t="n">
        <v>907</v>
      </c>
      <c r="C284" s="16" t="n">
        <v>698</v>
      </c>
      <c r="D284" s="16" t="inlineStr">
        <is>
          <t>CERRADA</t>
        </is>
      </c>
      <c r="E284" s="16" t="inlineStr">
        <is>
          <t>PAGADA</t>
        </is>
      </c>
      <c r="F284" s="16" t="inlineStr">
        <is>
          <t>Cajas De Paso</t>
        </is>
      </c>
      <c r="G284" s="16" t="inlineStr">
        <is>
          <t>(Sin Subgrupo)</t>
        </is>
      </c>
      <c r="H284" s="16" t="inlineStr">
        <is>
          <t>LISTON DE MADERA 4 X 8 X 300 CM - UND</t>
        </is>
      </c>
      <c r="I284" s="43" t="n">
        <v>15</v>
      </c>
      <c r="J284" s="44" t="n">
        <v>12500</v>
      </c>
      <c r="K284" s="44" t="n">
        <v>187500</v>
      </c>
      <c r="L284" s="16" t="inlineStr"/>
      <c r="M284" s="44" t="n">
        <v>0</v>
      </c>
      <c r="N284" s="44">
        <f>K284+M284</f>
        <v/>
      </c>
      <c r="O284" s="16" t="inlineStr">
        <is>
          <t>JULIO CESAR DEAVILA MARTINEZ</t>
        </is>
      </c>
      <c r="P284" s="16" t="inlineStr">
        <is>
          <t>DILIANA HINOJOSA INFANTE (DISTRIBUIDORA DE MATERIALES DYD)</t>
        </is>
      </c>
      <c r="Q284" s="16" t="inlineStr">
        <is>
          <t>PLANEADA</t>
        </is>
      </c>
      <c r="R284" s="16" t="inlineStr">
        <is>
          <t>MINI GRANJAS</t>
        </is>
      </c>
      <c r="S284" s="16" t="inlineStr">
        <is>
          <t>COT 48</t>
        </is>
      </c>
      <c r="T284" s="16" t="inlineStr">
        <is>
          <t>Otros / sin clasificar</t>
        </is>
      </c>
    </row>
    <row r="285">
      <c r="A285" s="45" t="n">
        <v>45953.40708333333</v>
      </c>
      <c r="B285" s="18" t="n">
        <v>907</v>
      </c>
      <c r="C285" s="18" t="n">
        <v>698</v>
      </c>
      <c r="D285" s="18" t="inlineStr">
        <is>
          <t>CERRADA</t>
        </is>
      </c>
      <c r="E285" s="18" t="inlineStr">
        <is>
          <t>PAGADA</t>
        </is>
      </c>
      <c r="F285" s="18" t="inlineStr">
        <is>
          <t>Cajas De Paso</t>
        </is>
      </c>
      <c r="G285" s="18" t="inlineStr">
        <is>
          <t>(Sin Subgrupo)</t>
        </is>
      </c>
      <c r="H285" s="18" t="inlineStr">
        <is>
          <t>VARILLA CORRUGADA PARA CONSTRUCCIÓN 3/8" X 6M - UND</t>
        </is>
      </c>
      <c r="I285" s="46" t="n">
        <v>121</v>
      </c>
      <c r="J285" s="47" t="n">
        <v>13500</v>
      </c>
      <c r="K285" s="47" t="n">
        <v>1633500</v>
      </c>
      <c r="L285" s="18" t="inlineStr"/>
      <c r="M285" s="47" t="n">
        <v>0</v>
      </c>
      <c r="N285" s="47">
        <f>K285+M285</f>
        <v/>
      </c>
      <c r="O285" s="18" t="inlineStr">
        <is>
          <t>JULIO CESAR DEAVILA MARTINEZ</t>
        </is>
      </c>
      <c r="P285" s="18" t="inlineStr">
        <is>
          <t>DILIANA HINOJOSA INFANTE (DISTRIBUIDORA DE MATERIALES DYD)</t>
        </is>
      </c>
      <c r="Q285" s="18" t="inlineStr">
        <is>
          <t>PLANEADA</t>
        </is>
      </c>
      <c r="R285" s="18" t="inlineStr">
        <is>
          <t>MINI GRANJAS</t>
        </is>
      </c>
      <c r="S285" s="18" t="inlineStr">
        <is>
          <t>COT 48</t>
        </is>
      </c>
      <c r="T285" s="18" t="inlineStr">
        <is>
          <t>Obra civil (concreto, agregados)</t>
        </is>
      </c>
    </row>
    <row r="286">
      <c r="A286" s="42" t="n">
        <v>45953.40708333333</v>
      </c>
      <c r="B286" s="16" t="n">
        <v>907</v>
      </c>
      <c r="C286" s="16" t="n">
        <v>698</v>
      </c>
      <c r="D286" s="16" t="inlineStr">
        <is>
          <t>CERRADA</t>
        </is>
      </c>
      <c r="E286" s="16" t="inlineStr">
        <is>
          <t>PAGADA</t>
        </is>
      </c>
      <c r="F286" s="16" t="inlineStr">
        <is>
          <t>Cajas De Paso</t>
        </is>
      </c>
      <c r="G286" s="16" t="inlineStr">
        <is>
          <t>(Sin Subgrupo)</t>
        </is>
      </c>
      <c r="H286" s="16" t="inlineStr">
        <is>
          <t>TABLA ORDINARIA - UND</t>
        </is>
      </c>
      <c r="I286" s="43" t="n">
        <v>30</v>
      </c>
      <c r="J286" s="44" t="n">
        <v>18500</v>
      </c>
      <c r="K286" s="44" t="n">
        <v>555000</v>
      </c>
      <c r="L286" s="16" t="inlineStr"/>
      <c r="M286" s="44" t="n">
        <v>0</v>
      </c>
      <c r="N286" s="44">
        <f>K286+M286</f>
        <v/>
      </c>
      <c r="O286" s="16" t="inlineStr">
        <is>
          <t>JULIO CESAR DEAVILA MARTINEZ</t>
        </is>
      </c>
      <c r="P286" s="16" t="inlineStr">
        <is>
          <t>DILIANA HINOJOSA INFANTE (DISTRIBUIDORA DE MATERIALES DYD)</t>
        </is>
      </c>
      <c r="Q286" s="16" t="inlineStr">
        <is>
          <t>PLANEADA</t>
        </is>
      </c>
      <c r="R286" s="16" t="inlineStr">
        <is>
          <t>MINI GRANJAS</t>
        </is>
      </c>
      <c r="S286" s="16" t="inlineStr">
        <is>
          <t>COT 48</t>
        </is>
      </c>
      <c r="T286" s="16" t="inlineStr">
        <is>
          <t>Obra civil (concreto, agregados)</t>
        </is>
      </c>
    </row>
    <row r="287">
      <c r="A287" s="45" t="n">
        <v>45950.49039351852</v>
      </c>
      <c r="B287" s="18" t="n">
        <v>857</v>
      </c>
      <c r="C287" s="18" t="n">
        <v>667</v>
      </c>
      <c r="D287" s="18" t="inlineStr">
        <is>
          <t>CERRADA</t>
        </is>
      </c>
      <c r="E287" s="18" t="inlineStr">
        <is>
          <t>PAGADA</t>
        </is>
      </c>
      <c r="F287" s="18" t="inlineStr">
        <is>
          <t>Servicio</t>
        </is>
      </c>
      <c r="G287" s="18" t="inlineStr">
        <is>
          <t>Transportes</t>
        </is>
      </c>
      <c r="H287" s="18" t="inlineStr">
        <is>
          <t>FLETE - UND</t>
        </is>
      </c>
      <c r="I287" s="46" t="n">
        <v>6</v>
      </c>
      <c r="J287" s="47" t="n">
        <v>100000</v>
      </c>
      <c r="K287" s="47" t="n">
        <v>600000</v>
      </c>
      <c r="L287" s="18" t="inlineStr"/>
      <c r="M287" s="47" t="n">
        <v>0</v>
      </c>
      <c r="N287" s="47">
        <f>K287+M287</f>
        <v/>
      </c>
      <c r="O287" s="18" t="inlineStr">
        <is>
          <t>JULIO CESAR DEAVILA MARTINEZ</t>
        </is>
      </c>
      <c r="P287" s="18" t="inlineStr">
        <is>
          <t>DILIANA HINOJOSA INFANTE (DISTRIBUIDORA DE MATERIALES DYD)</t>
        </is>
      </c>
      <c r="Q287" s="18" t="inlineStr">
        <is>
          <t>PLANEADA</t>
        </is>
      </c>
      <c r="R287" s="18" t="inlineStr">
        <is>
          <t>MINI GRANJAS</t>
        </is>
      </c>
      <c r="S287" s="18" t="inlineStr">
        <is>
          <t>COT42</t>
        </is>
      </c>
      <c r="T287" s="18" t="inlineStr">
        <is>
          <t>Fletes y transporte de carga</t>
        </is>
      </c>
    </row>
    <row r="288">
      <c r="A288" s="42" t="n">
        <v>45950.49039351852</v>
      </c>
      <c r="B288" s="16" t="n">
        <v>857</v>
      </c>
      <c r="C288" s="16" t="n">
        <v>667</v>
      </c>
      <c r="D288" s="16" t="inlineStr">
        <is>
          <t>CERRADA</t>
        </is>
      </c>
      <c r="E288" s="16" t="inlineStr">
        <is>
          <t>PAGADA</t>
        </is>
      </c>
      <c r="F288" s="16" t="inlineStr">
        <is>
          <t>Servicio</t>
        </is>
      </c>
      <c r="G288" s="16" t="inlineStr">
        <is>
          <t>Preparativos Previos Inicio De Obras</t>
        </is>
      </c>
      <c r="H288" s="16" t="inlineStr">
        <is>
          <t>TUBO 36” CONCRETO X 1M - UND</t>
        </is>
      </c>
      <c r="I288" s="43" t="n">
        <v>6</v>
      </c>
      <c r="J288" s="44" t="n">
        <v>330000</v>
      </c>
      <c r="K288" s="44" t="n">
        <v>1980000</v>
      </c>
      <c r="L288" s="16" t="inlineStr"/>
      <c r="M288" s="44" t="n">
        <v>0</v>
      </c>
      <c r="N288" s="44">
        <f>K288+M288</f>
        <v/>
      </c>
      <c r="O288" s="16" t="inlineStr">
        <is>
          <t>JULIO CESAR DEAVILA MARTINEZ</t>
        </is>
      </c>
      <c r="P288" s="16" t="inlineStr">
        <is>
          <t>DILIANA HINOJOSA INFANTE (DISTRIBUIDORA DE MATERIALES DYD)</t>
        </is>
      </c>
      <c r="Q288" s="16" t="inlineStr">
        <is>
          <t>PLANEADA</t>
        </is>
      </c>
      <c r="R288" s="16" t="inlineStr">
        <is>
          <t>MINI GRANJAS</t>
        </is>
      </c>
      <c r="S288" s="16" t="inlineStr">
        <is>
          <t>COT42</t>
        </is>
      </c>
      <c r="T288" s="16" t="inlineStr">
        <is>
          <t>Canalización y tubería</t>
        </is>
      </c>
    </row>
    <row r="289">
      <c r="A289" s="45" t="n">
        <v>45945.53226851852</v>
      </c>
      <c r="B289" s="18" t="n">
        <v>801</v>
      </c>
      <c r="C289" s="18" t="n">
        <v>607</v>
      </c>
      <c r="D289" s="18" t="inlineStr">
        <is>
          <t>CERRADA</t>
        </is>
      </c>
      <c r="E289" s="18" t="inlineStr">
        <is>
          <t>PAGADA</t>
        </is>
      </c>
      <c r="F289" s="18" t="inlineStr">
        <is>
          <t>Servicio</t>
        </is>
      </c>
      <c r="G289" s="18" t="inlineStr">
        <is>
          <t>Preparativos Previos Inicio De Obras</t>
        </is>
      </c>
      <c r="H289" s="18" t="inlineStr">
        <is>
          <t>RECEBO - M3</t>
        </is>
      </c>
      <c r="I289" s="46" t="n">
        <v>203</v>
      </c>
      <c r="J289" s="47" t="n">
        <v>69000</v>
      </c>
      <c r="K289" s="47" t="n">
        <v>14007000</v>
      </c>
      <c r="L289" s="18" t="inlineStr"/>
      <c r="M289" s="47" t="n">
        <v>0</v>
      </c>
      <c r="N289" s="47">
        <f>K289+M289</f>
        <v/>
      </c>
      <c r="O289" s="18" t="inlineStr">
        <is>
          <t>JULIO CESAR DEAVILA MARTINEZ</t>
        </is>
      </c>
      <c r="P289" s="18" t="inlineStr">
        <is>
          <t>CAMPO HELMER PORTILLO PORTILLA</t>
        </is>
      </c>
      <c r="Q289" s="18" t="inlineStr">
        <is>
          <t>URGENCIA</t>
        </is>
      </c>
      <c r="R289" s="18" t="inlineStr">
        <is>
          <t>MINI GRANJAS</t>
        </is>
      </c>
      <c r="S289" s="18" t="inlineStr">
        <is>
          <t>COTIZACION 59</t>
        </is>
      </c>
      <c r="T289" s="18" t="inlineStr">
        <is>
          <t>Obra civil (concreto, agregados)</t>
        </is>
      </c>
    </row>
    <row r="290">
      <c r="A290" s="42" t="n">
        <v>45931.36893518519</v>
      </c>
      <c r="B290" s="16" t="n">
        <v>634</v>
      </c>
      <c r="C290" s="16" t="n">
        <v>458</v>
      </c>
      <c r="D290" s="16" t="inlineStr">
        <is>
          <t>CERRADA</t>
        </is>
      </c>
      <c r="E290" s="16" t="inlineStr">
        <is>
          <t>CAUSADA</t>
        </is>
      </c>
      <c r="F290" s="16" t="inlineStr">
        <is>
          <t>Set (Electrico) Suministro</t>
        </is>
      </c>
      <c r="G290" s="16" t="inlineStr">
        <is>
          <t>(Sin Subgrupo)</t>
        </is>
      </c>
      <c r="H290" s="16" t="inlineStr">
        <is>
          <t>ADAPTADOR 1" PVC - UND</t>
        </is>
      </c>
      <c r="I290" s="43" t="n">
        <v>15</v>
      </c>
      <c r="J290" s="44" t="n">
        <v>567.46</v>
      </c>
      <c r="K290" s="44" t="n">
        <v>8511.9</v>
      </c>
      <c r="L290" s="16" t="inlineStr">
        <is>
          <t>IVA 19%</t>
        </is>
      </c>
      <c r="M290" s="44" t="n">
        <v>1617</v>
      </c>
      <c r="N290" s="44">
        <f>K290+M290</f>
        <v/>
      </c>
      <c r="O290" s="16" t="inlineStr">
        <is>
          <t>JULIO CESAR DEAVILA MARTINEZ</t>
        </is>
      </c>
      <c r="P290" s="16" t="inlineStr">
        <is>
          <t>ELECTRICOS DEL VALLE SAS</t>
        </is>
      </c>
      <c r="Q290" s="16" t="inlineStr">
        <is>
          <t>PLANEADA</t>
        </is>
      </c>
      <c r="R290" s="16" t="inlineStr">
        <is>
          <t>MINI GRANJAS</t>
        </is>
      </c>
      <c r="S290" s="16" t="inlineStr">
        <is>
          <t>EPE18672</t>
        </is>
      </c>
      <c r="T290" s="16" t="inlineStr">
        <is>
          <t>Canalización y tubería</t>
        </is>
      </c>
    </row>
    <row r="291">
      <c r="A291" s="45" t="n">
        <v>45931.36893518519</v>
      </c>
      <c r="B291" s="18" t="n">
        <v>634</v>
      </c>
      <c r="C291" s="18" t="n">
        <v>458</v>
      </c>
      <c r="D291" s="18" t="inlineStr">
        <is>
          <t>CERRADA</t>
        </is>
      </c>
      <c r="E291" s="18" t="inlineStr">
        <is>
          <t>CAUSADA</t>
        </is>
      </c>
      <c r="F291" s="18" t="inlineStr">
        <is>
          <t>Set (Electrico) Suministro</t>
        </is>
      </c>
      <c r="G291" s="18" t="inlineStr">
        <is>
          <t>(Sin Subgrupo)</t>
        </is>
      </c>
      <c r="H291" s="18" t="inlineStr">
        <is>
          <t>CURVA 1" PVC NACIONAL CONDUIT (90°/1 CAMPANA)- TUBOSA/IMEC 1302-160807 - UND</t>
        </is>
      </c>
      <c r="I291" s="46" t="n">
        <v>10</v>
      </c>
      <c r="J291" s="47" t="n">
        <v>1067.2</v>
      </c>
      <c r="K291" s="47" t="n">
        <v>10672</v>
      </c>
      <c r="L291" s="18" t="inlineStr">
        <is>
          <t>IVA 19%</t>
        </is>
      </c>
      <c r="M291" s="47" t="n">
        <v>2027</v>
      </c>
      <c r="N291" s="47">
        <f>K291+M291</f>
        <v/>
      </c>
      <c r="O291" s="18" t="inlineStr">
        <is>
          <t>JULIO CESAR DEAVILA MARTINEZ</t>
        </is>
      </c>
      <c r="P291" s="18" t="inlineStr">
        <is>
          <t>ELECTRICOS DEL VALLE SAS</t>
        </is>
      </c>
      <c r="Q291" s="18" t="inlineStr">
        <is>
          <t>PLANEADA</t>
        </is>
      </c>
      <c r="R291" s="18" t="inlineStr">
        <is>
          <t>MINI GRANJAS</t>
        </is>
      </c>
      <c r="S291" s="18" t="inlineStr">
        <is>
          <t>EPE18672</t>
        </is>
      </c>
      <c r="T291" s="18" t="inlineStr">
        <is>
          <t>Canalización y tubería</t>
        </is>
      </c>
    </row>
    <row r="292">
      <c r="A292" s="42" t="n">
        <v>45931.36893518519</v>
      </c>
      <c r="B292" s="16" t="n">
        <v>634</v>
      </c>
      <c r="C292" s="16" t="n">
        <v>458</v>
      </c>
      <c r="D292" s="16" t="inlineStr">
        <is>
          <t>CERRADA</t>
        </is>
      </c>
      <c r="E292" s="16" t="inlineStr">
        <is>
          <t>CAUSADA</t>
        </is>
      </c>
      <c r="F292" s="16" t="inlineStr">
        <is>
          <t>Set (Electrico) Suministro</t>
        </is>
      </c>
      <c r="G292" s="16" t="inlineStr">
        <is>
          <t>(Sin Subgrupo)</t>
        </is>
      </c>
      <c r="H292" s="16" t="inlineStr">
        <is>
          <t>CABLE AL 2 AWG  X METRO - UND</t>
        </is>
      </c>
      <c r="I292" s="43" t="n">
        <v>32</v>
      </c>
      <c r="J292" s="44" t="n">
        <v>3394.15</v>
      </c>
      <c r="K292" s="44" t="n">
        <v>108612.8</v>
      </c>
      <c r="L292" s="16" t="inlineStr">
        <is>
          <t>IVA 19%</t>
        </is>
      </c>
      <c r="M292" s="44" t="n">
        <v>20636</v>
      </c>
      <c r="N292" s="44">
        <f>K292+M292</f>
        <v/>
      </c>
      <c r="O292" s="16" t="inlineStr">
        <is>
          <t>JULIO CESAR DEAVILA MARTINEZ</t>
        </is>
      </c>
      <c r="P292" s="16" t="inlineStr">
        <is>
          <t>ELECTRICOS DEL VALLE SAS</t>
        </is>
      </c>
      <c r="Q292" s="16" t="inlineStr">
        <is>
          <t>PLANEADA</t>
        </is>
      </c>
      <c r="R292" s="16" t="inlineStr">
        <is>
          <t>MINI GRANJAS</t>
        </is>
      </c>
      <c r="S292" s="16" t="inlineStr">
        <is>
          <t>EPE18672</t>
        </is>
      </c>
      <c r="T292" s="16" t="inlineStr">
        <is>
          <t>Cableado y conductores</t>
        </is>
      </c>
    </row>
    <row r="293">
      <c r="A293" s="45" t="n">
        <v>45931.36893518519</v>
      </c>
      <c r="B293" s="18" t="n">
        <v>634</v>
      </c>
      <c r="C293" s="18" t="n">
        <v>458</v>
      </c>
      <c r="D293" s="18" t="inlineStr">
        <is>
          <t>CERRADA</t>
        </is>
      </c>
      <c r="E293" s="18" t="inlineStr">
        <is>
          <t>CAUSADA</t>
        </is>
      </c>
      <c r="F293" s="18" t="inlineStr">
        <is>
          <t>Set (Electrico) Suministro</t>
        </is>
      </c>
      <c r="G293" s="18" t="inlineStr">
        <is>
          <t>(Sin Subgrupo)</t>
        </is>
      </c>
      <c r="H293" s="18" t="inlineStr">
        <is>
          <t>CABLE SOLAR 4mm NEGRO (PROCABLES) 1014-31399000601C - UND</t>
        </is>
      </c>
      <c r="I293" s="46" t="n">
        <v>9500</v>
      </c>
      <c r="J293" s="47" t="n">
        <v>3912.48</v>
      </c>
      <c r="K293" s="47" t="n">
        <v>37168560</v>
      </c>
      <c r="L293" s="18" t="inlineStr">
        <is>
          <t>IVA 19%</t>
        </is>
      </c>
      <c r="M293" s="47" t="n">
        <v>7062026</v>
      </c>
      <c r="N293" s="47">
        <f>K293+M293</f>
        <v/>
      </c>
      <c r="O293" s="18" t="inlineStr">
        <is>
          <t>JULIO CESAR DEAVILA MARTINEZ</t>
        </is>
      </c>
      <c r="P293" s="18" t="inlineStr">
        <is>
          <t>ELECTRICOS DEL VALLE SAS</t>
        </is>
      </c>
      <c r="Q293" s="18" t="inlineStr">
        <is>
          <t>PLANEADA</t>
        </is>
      </c>
      <c r="R293" s="18" t="inlineStr">
        <is>
          <t>MINI GRANJAS</t>
        </is>
      </c>
      <c r="S293" s="18" t="inlineStr">
        <is>
          <t>EPE18672</t>
        </is>
      </c>
      <c r="T293" s="18" t="inlineStr">
        <is>
          <t>Cableado y conductores</t>
        </is>
      </c>
    </row>
    <row r="294">
      <c r="A294" s="42" t="n">
        <v>45931.36893518519</v>
      </c>
      <c r="B294" s="16" t="n">
        <v>634</v>
      </c>
      <c r="C294" s="16" t="n">
        <v>458</v>
      </c>
      <c r="D294" s="16" t="inlineStr">
        <is>
          <t>CERRADA</t>
        </is>
      </c>
      <c r="E294" s="16" t="inlineStr">
        <is>
          <t>CAUSADA</t>
        </is>
      </c>
      <c r="F294" s="16" t="inlineStr">
        <is>
          <t>Set (Electrico) Suministro</t>
        </is>
      </c>
      <c r="G294" s="16" t="inlineStr">
        <is>
          <t>(Sin Subgrupo)</t>
        </is>
      </c>
      <c r="H294" s="16" t="inlineStr">
        <is>
          <t>ADAPTADOR 3" PVC TERMINAL CAMPANA - UND</t>
        </is>
      </c>
      <c r="I294" s="43" t="n">
        <v>49</v>
      </c>
      <c r="J294" s="44" t="n">
        <v>4465.22</v>
      </c>
      <c r="K294" s="44" t="n">
        <v>218795.78</v>
      </c>
      <c r="L294" s="16" t="inlineStr">
        <is>
          <t>IVA 19%</t>
        </is>
      </c>
      <c r="M294" s="44" t="n">
        <v>41571</v>
      </c>
      <c r="N294" s="44">
        <f>K294+M294</f>
        <v/>
      </c>
      <c r="O294" s="16" t="inlineStr">
        <is>
          <t>JULIO CESAR DEAVILA MARTINEZ</t>
        </is>
      </c>
      <c r="P294" s="16" t="inlineStr">
        <is>
          <t>ELECTRICOS DEL VALLE SAS</t>
        </is>
      </c>
      <c r="Q294" s="16" t="inlineStr">
        <is>
          <t>PLANEADA</t>
        </is>
      </c>
      <c r="R294" s="16" t="inlineStr">
        <is>
          <t>MINI GRANJAS</t>
        </is>
      </c>
      <c r="S294" s="16" t="inlineStr">
        <is>
          <t>EPE18672</t>
        </is>
      </c>
      <c r="T294" s="16" t="inlineStr">
        <is>
          <t>Canalización y tubería</t>
        </is>
      </c>
    </row>
    <row r="295">
      <c r="A295" s="45" t="n">
        <v>45931.36893518519</v>
      </c>
      <c r="B295" s="18" t="n">
        <v>634</v>
      </c>
      <c r="C295" s="18" t="n">
        <v>458</v>
      </c>
      <c r="D295" s="18" t="inlineStr">
        <is>
          <t>CERRADA</t>
        </is>
      </c>
      <c r="E295" s="18" t="inlineStr">
        <is>
          <t>CAUSADA</t>
        </is>
      </c>
      <c r="F295" s="18" t="inlineStr">
        <is>
          <t>Set (Electrico) Suministro</t>
        </is>
      </c>
      <c r="G295" s="18" t="inlineStr">
        <is>
          <t>(Sin Subgrupo)</t>
        </is>
      </c>
      <c r="H295" s="18" t="inlineStr">
        <is>
          <t>CABLE AL 1/0  X METRO - UND</t>
        </is>
      </c>
      <c r="I295" s="46" t="n">
        <v>250</v>
      </c>
      <c r="J295" s="47" t="n">
        <v>4983.32</v>
      </c>
      <c r="K295" s="47" t="n">
        <v>1245830</v>
      </c>
      <c r="L295" s="18" t="inlineStr">
        <is>
          <t>IVA 19%</t>
        </is>
      </c>
      <c r="M295" s="47" t="n">
        <v>236707</v>
      </c>
      <c r="N295" s="47">
        <f>K295+M295</f>
        <v/>
      </c>
      <c r="O295" s="18" t="inlineStr">
        <is>
          <t>JULIO CESAR DEAVILA MARTINEZ</t>
        </is>
      </c>
      <c r="P295" s="18" t="inlineStr">
        <is>
          <t>ELECTRICOS DEL VALLE SAS</t>
        </is>
      </c>
      <c r="Q295" s="18" t="inlineStr">
        <is>
          <t>PLANEADA</t>
        </is>
      </c>
      <c r="R295" s="18" t="inlineStr">
        <is>
          <t>MINI GRANJAS</t>
        </is>
      </c>
      <c r="S295" s="18" t="inlineStr">
        <is>
          <t>EPE18672</t>
        </is>
      </c>
      <c r="T295" s="18" t="inlineStr">
        <is>
          <t>Cableado y conductores</t>
        </is>
      </c>
    </row>
    <row r="296">
      <c r="A296" s="42" t="n">
        <v>45931.36893518519</v>
      </c>
      <c r="B296" s="16" t="n">
        <v>634</v>
      </c>
      <c r="C296" s="16" t="n">
        <v>458</v>
      </c>
      <c r="D296" s="16" t="inlineStr">
        <is>
          <t>CERRADA</t>
        </is>
      </c>
      <c r="E296" s="16" t="inlineStr">
        <is>
          <t>CAUSADA</t>
        </is>
      </c>
      <c r="F296" s="16" t="inlineStr">
        <is>
          <t>Set (Electrico) Suministro</t>
        </is>
      </c>
      <c r="G296" s="16" t="inlineStr">
        <is>
          <t>(Sin Subgrupo)</t>
        </is>
      </c>
      <c r="H296" s="16" t="inlineStr">
        <is>
          <t>ADAPTADOR 4" PVC TERMINAL CAMPANA - UND</t>
        </is>
      </c>
      <c r="I296" s="43" t="n">
        <v>26</v>
      </c>
      <c r="J296" s="44" t="n">
        <v>5677.96</v>
      </c>
      <c r="K296" s="44" t="n">
        <v>147626.96</v>
      </c>
      <c r="L296" s="16" t="inlineStr">
        <is>
          <t>IVA 19%</t>
        </is>
      </c>
      <c r="M296" s="44" t="n">
        <v>28049</v>
      </c>
      <c r="N296" s="44">
        <f>K296+M296</f>
        <v/>
      </c>
      <c r="O296" s="16" t="inlineStr">
        <is>
          <t>JULIO CESAR DEAVILA MARTINEZ</t>
        </is>
      </c>
      <c r="P296" s="16" t="inlineStr">
        <is>
          <t>ELECTRICOS DEL VALLE SAS</t>
        </is>
      </c>
      <c r="Q296" s="16" t="inlineStr">
        <is>
          <t>PLANEADA</t>
        </is>
      </c>
      <c r="R296" s="16" t="inlineStr">
        <is>
          <t>MINI GRANJAS</t>
        </is>
      </c>
      <c r="S296" s="16" t="inlineStr">
        <is>
          <t>EPE18672</t>
        </is>
      </c>
      <c r="T296" s="16" t="inlineStr">
        <is>
          <t>Canalización y tubería</t>
        </is>
      </c>
    </row>
    <row r="297">
      <c r="A297" s="45" t="n">
        <v>45931.36893518519</v>
      </c>
      <c r="B297" s="18" t="n">
        <v>634</v>
      </c>
      <c r="C297" s="18" t="n">
        <v>458</v>
      </c>
      <c r="D297" s="18" t="inlineStr">
        <is>
          <t>CERRADA</t>
        </is>
      </c>
      <c r="E297" s="18" t="inlineStr">
        <is>
          <t>CAUSADA</t>
        </is>
      </c>
      <c r="F297" s="18" t="inlineStr">
        <is>
          <t>Set (Electrico) Suministro</t>
        </is>
      </c>
      <c r="G297" s="18" t="inlineStr">
        <is>
          <t>(Sin Subgrupo)</t>
        </is>
      </c>
      <c r="H297" s="18" t="inlineStr">
        <is>
          <t>TUBO 1" PVC COUNDUIT 3 MTS 1302-160905 - UND</t>
        </is>
      </c>
      <c r="I297" s="46" t="n">
        <v>50</v>
      </c>
      <c r="J297" s="47" t="n">
        <v>5758.06</v>
      </c>
      <c r="K297" s="47" t="n">
        <v>287903</v>
      </c>
      <c r="L297" s="18" t="inlineStr">
        <is>
          <t>IVA 19%</t>
        </is>
      </c>
      <c r="M297" s="47" t="n">
        <v>54701</v>
      </c>
      <c r="N297" s="47">
        <f>K297+M297</f>
        <v/>
      </c>
      <c r="O297" s="18" t="inlineStr">
        <is>
          <t>JULIO CESAR DEAVILA MARTINEZ</t>
        </is>
      </c>
      <c r="P297" s="18" t="inlineStr">
        <is>
          <t>ELECTRICOS DEL VALLE SAS</t>
        </is>
      </c>
      <c r="Q297" s="18" t="inlineStr">
        <is>
          <t>PLANEADA</t>
        </is>
      </c>
      <c r="R297" s="18" t="inlineStr">
        <is>
          <t>MINI GRANJAS</t>
        </is>
      </c>
      <c r="S297" s="18" t="inlineStr">
        <is>
          <t>EPE18672</t>
        </is>
      </c>
      <c r="T297" s="18" t="inlineStr">
        <is>
          <t>Canalización y tubería</t>
        </is>
      </c>
    </row>
    <row r="298">
      <c r="A298" s="42" t="n">
        <v>45931.36893518519</v>
      </c>
      <c r="B298" s="16" t="n">
        <v>634</v>
      </c>
      <c r="C298" s="16" t="n">
        <v>458</v>
      </c>
      <c r="D298" s="16" t="inlineStr">
        <is>
          <t>CERRADA</t>
        </is>
      </c>
      <c r="E298" s="16" t="inlineStr">
        <is>
          <t>CAUSADA</t>
        </is>
      </c>
      <c r="F298" s="16" t="inlineStr">
        <is>
          <t>Set (Electrico) Suministro</t>
        </is>
      </c>
      <c r="G298" s="16" t="inlineStr">
        <is>
          <t>(Sin Subgrupo)</t>
        </is>
      </c>
      <c r="H298" s="16" t="inlineStr">
        <is>
          <t>UNION BANDEJA PORTACABLE GALVANIZADA - UND</t>
        </is>
      </c>
      <c r="I298" s="43" t="n">
        <v>30</v>
      </c>
      <c r="J298" s="44" t="n">
        <v>6955</v>
      </c>
      <c r="K298" s="44" t="n">
        <v>208650</v>
      </c>
      <c r="L298" s="16" t="inlineStr">
        <is>
          <t>IVA 19%</t>
        </is>
      </c>
      <c r="M298" s="44" t="n">
        <v>39643</v>
      </c>
      <c r="N298" s="44">
        <f>K298+M298</f>
        <v/>
      </c>
      <c r="O298" s="16" t="inlineStr">
        <is>
          <t>JULIO CESAR DEAVILA MARTINEZ</t>
        </is>
      </c>
      <c r="P298" s="16" t="inlineStr">
        <is>
          <t>ELECTRICOS DEL VALLE SAS</t>
        </is>
      </c>
      <c r="Q298" s="16" t="inlineStr">
        <is>
          <t>PLANEADA</t>
        </is>
      </c>
      <c r="R298" s="16" t="inlineStr">
        <is>
          <t>MINI GRANJAS</t>
        </is>
      </c>
      <c r="S298" s="16" t="inlineStr">
        <is>
          <t>EPE18672</t>
        </is>
      </c>
      <c r="T298" s="16" t="inlineStr">
        <is>
          <t>Cableado y conductores</t>
        </is>
      </c>
    </row>
    <row r="299">
      <c r="A299" s="45" t="n">
        <v>45931.36893518519</v>
      </c>
      <c r="B299" s="18" t="n">
        <v>634</v>
      </c>
      <c r="C299" s="18" t="n">
        <v>458</v>
      </c>
      <c r="D299" s="18" t="inlineStr">
        <is>
          <t>CERRADA</t>
        </is>
      </c>
      <c r="E299" s="18" t="inlineStr">
        <is>
          <t>CAUSADA</t>
        </is>
      </c>
      <c r="F299" s="18" t="inlineStr">
        <is>
          <t>Set (Electrico) Suministro</t>
        </is>
      </c>
      <c r="G299" s="18" t="inlineStr">
        <is>
          <t>(Sin Subgrupo)</t>
        </is>
      </c>
      <c r="H299" s="18" t="inlineStr">
        <is>
          <t>CONECTOR MC4 EN JUEGO  - UND</t>
        </is>
      </c>
      <c r="I299" s="46" t="n">
        <v>93</v>
      </c>
      <c r="J299" s="47" t="n">
        <v>7580.81</v>
      </c>
      <c r="K299" s="47" t="n">
        <v>705015.33</v>
      </c>
      <c r="L299" s="18" t="inlineStr">
        <is>
          <t>IVA 19%</t>
        </is>
      </c>
      <c r="M299" s="47" t="n">
        <v>133952</v>
      </c>
      <c r="N299" s="47">
        <f>K299+M299</f>
        <v/>
      </c>
      <c r="O299" s="18" t="inlineStr">
        <is>
          <t>JULIO CESAR DEAVILA MARTINEZ</t>
        </is>
      </c>
      <c r="P299" s="18" t="inlineStr">
        <is>
          <t>ELECTRICOS DEL VALLE SAS</t>
        </is>
      </c>
      <c r="Q299" s="18" t="inlineStr">
        <is>
          <t>PLANEADA</t>
        </is>
      </c>
      <c r="R299" s="18" t="inlineStr">
        <is>
          <t>MINI GRANJAS</t>
        </is>
      </c>
      <c r="S299" s="18" t="inlineStr">
        <is>
          <t>EPE18672</t>
        </is>
      </c>
      <c r="T299" s="18" t="inlineStr">
        <is>
          <t>Cableado y conductores</t>
        </is>
      </c>
    </row>
    <row r="300">
      <c r="A300" s="42" t="n">
        <v>45931.36893518519</v>
      </c>
      <c r="B300" s="16" t="n">
        <v>634</v>
      </c>
      <c r="C300" s="16" t="n">
        <v>458</v>
      </c>
      <c r="D300" s="16" t="inlineStr">
        <is>
          <t>CERRADA</t>
        </is>
      </c>
      <c r="E300" s="16" t="inlineStr">
        <is>
          <t>CAUSADA</t>
        </is>
      </c>
      <c r="F300" s="16" t="inlineStr">
        <is>
          <t>Set (Electrico) Suministro</t>
        </is>
      </c>
      <c r="G300" s="16" t="inlineStr">
        <is>
          <t>(Sin Subgrupo)</t>
        </is>
      </c>
      <c r="H300" s="16" t="inlineStr">
        <is>
          <t>CABLE SIETE HILOS CU 6 NEGRO X METRO - UND</t>
        </is>
      </c>
      <c r="I300" s="43" t="n">
        <v>250</v>
      </c>
      <c r="J300" s="44" t="n">
        <v>8933.799999999999</v>
      </c>
      <c r="K300" s="44" t="n">
        <v>2233450</v>
      </c>
      <c r="L300" s="16" t="inlineStr">
        <is>
          <t>IVA 19%</t>
        </is>
      </c>
      <c r="M300" s="44" t="n">
        <v>424355</v>
      </c>
      <c r="N300" s="44">
        <f>K300+M300</f>
        <v/>
      </c>
      <c r="O300" s="16" t="inlineStr">
        <is>
          <t>JULIO CESAR DEAVILA MARTINEZ</t>
        </is>
      </c>
      <c r="P300" s="16" t="inlineStr">
        <is>
          <t>ELECTRICOS DEL VALLE SAS</t>
        </is>
      </c>
      <c r="Q300" s="16" t="inlineStr">
        <is>
          <t>PLANEADA</t>
        </is>
      </c>
      <c r="R300" s="16" t="inlineStr">
        <is>
          <t>MINI GRANJAS</t>
        </is>
      </c>
      <c r="S300" s="16" t="inlineStr">
        <is>
          <t>EPE18672</t>
        </is>
      </c>
      <c r="T300" s="16" t="inlineStr">
        <is>
          <t>Cableado y conductores</t>
        </is>
      </c>
    </row>
    <row r="301">
      <c r="A301" s="45" t="n">
        <v>45931.36893518519</v>
      </c>
      <c r="B301" s="18" t="n">
        <v>634</v>
      </c>
      <c r="C301" s="18" t="n">
        <v>458</v>
      </c>
      <c r="D301" s="18" t="inlineStr">
        <is>
          <t>CERRADA</t>
        </is>
      </c>
      <c r="E301" s="18" t="inlineStr">
        <is>
          <t>CAUSADA</t>
        </is>
      </c>
      <c r="F301" s="18" t="inlineStr">
        <is>
          <t>Set (Electrico) Suministro</t>
        </is>
      </c>
      <c r="G301" s="18" t="inlineStr">
        <is>
          <t>(Sin Subgrupo)</t>
        </is>
      </c>
      <c r="H301" s="18" t="inlineStr">
        <is>
          <t>SOLDADURA 90 GRAMOS - GROUNDING - UND</t>
        </is>
      </c>
      <c r="I301" s="46" t="n">
        <v>62</v>
      </c>
      <c r="J301" s="47" t="n">
        <v>13791.46</v>
      </c>
      <c r="K301" s="47" t="n">
        <v>855070.52</v>
      </c>
      <c r="L301" s="18" t="inlineStr">
        <is>
          <t>IVA 19%</t>
        </is>
      </c>
      <c r="M301" s="47" t="n">
        <v>162463</v>
      </c>
      <c r="N301" s="47">
        <f>K301+M301</f>
        <v/>
      </c>
      <c r="O301" s="18" t="inlineStr">
        <is>
          <t>JULIO CESAR DEAVILA MARTINEZ</t>
        </is>
      </c>
      <c r="P301" s="18" t="inlineStr">
        <is>
          <t>ELECTRICOS DEL VALLE SAS</t>
        </is>
      </c>
      <c r="Q301" s="18" t="inlineStr">
        <is>
          <t>PLANEADA</t>
        </is>
      </c>
      <c r="R301" s="18" t="inlineStr">
        <is>
          <t>MINI GRANJAS</t>
        </is>
      </c>
      <c r="S301" s="18" t="inlineStr">
        <is>
          <t>EPE18672</t>
        </is>
      </c>
      <c r="T301" s="18" t="inlineStr">
        <is>
          <t>Otros / sin clasificar</t>
        </is>
      </c>
    </row>
    <row r="302">
      <c r="A302" s="42" t="n">
        <v>45931.36893518519</v>
      </c>
      <c r="B302" s="16" t="n">
        <v>634</v>
      </c>
      <c r="C302" s="16" t="n">
        <v>458</v>
      </c>
      <c r="D302" s="16" t="inlineStr">
        <is>
          <t>CERRADA</t>
        </is>
      </c>
      <c r="E302" s="16" t="inlineStr">
        <is>
          <t>CAUSADA</t>
        </is>
      </c>
      <c r="F302" s="16" t="inlineStr">
        <is>
          <t>Set (Electrico) Suministro</t>
        </is>
      </c>
      <c r="G302" s="16" t="inlineStr">
        <is>
          <t>(Sin Subgrupo)</t>
        </is>
      </c>
      <c r="H302" s="16" t="inlineStr">
        <is>
          <t>CURVA 3" PVC NACIONAL CONDUIT (90° / 1 CAMPANA) - TUBOSA/IMEC 1301-160813 - UND</t>
        </is>
      </c>
      <c r="I302" s="43" t="n">
        <v>31</v>
      </c>
      <c r="J302" s="44" t="n">
        <v>13980.9</v>
      </c>
      <c r="K302" s="44" t="n">
        <v>433407.9</v>
      </c>
      <c r="L302" s="16" t="inlineStr">
        <is>
          <t>IVA 19%</t>
        </is>
      </c>
      <c r="M302" s="44" t="n">
        <v>82347</v>
      </c>
      <c r="N302" s="44">
        <f>K302+M302</f>
        <v/>
      </c>
      <c r="O302" s="16" t="inlineStr">
        <is>
          <t>JULIO CESAR DEAVILA MARTINEZ</t>
        </is>
      </c>
      <c r="P302" s="16" t="inlineStr">
        <is>
          <t>ELECTRICOS DEL VALLE SAS</t>
        </is>
      </c>
      <c r="Q302" s="16" t="inlineStr">
        <is>
          <t>PLANEADA</t>
        </is>
      </c>
      <c r="R302" s="16" t="inlineStr">
        <is>
          <t>MINI GRANJAS</t>
        </is>
      </c>
      <c r="S302" s="16" t="inlineStr">
        <is>
          <t>EPE18672</t>
        </is>
      </c>
      <c r="T302" s="16" t="inlineStr">
        <is>
          <t>Canalización y tubería</t>
        </is>
      </c>
    </row>
    <row r="303">
      <c r="A303" s="45" t="n">
        <v>45931.36893518519</v>
      </c>
      <c r="B303" s="18" t="n">
        <v>634</v>
      </c>
      <c r="C303" s="18" t="n">
        <v>458</v>
      </c>
      <c r="D303" s="18" t="inlineStr">
        <is>
          <t>CERRADA</t>
        </is>
      </c>
      <c r="E303" s="18" t="inlineStr">
        <is>
          <t>CAUSADA</t>
        </is>
      </c>
      <c r="F303" s="18" t="inlineStr">
        <is>
          <t>Set (Electrico) Suministro</t>
        </is>
      </c>
      <c r="G303" s="18" t="inlineStr">
        <is>
          <t>(Sin Subgrupo)</t>
        </is>
      </c>
      <c r="H303" s="18" t="inlineStr">
        <is>
          <t>CABLE CU DESNUDO 1/0 AWG 19H - UND</t>
        </is>
      </c>
      <c r="I303" s="46" t="n">
        <v>400</v>
      </c>
      <c r="J303" s="47" t="n">
        <v>33356.4</v>
      </c>
      <c r="K303" s="47" t="n">
        <v>13342560</v>
      </c>
      <c r="L303" s="18" t="inlineStr">
        <is>
          <t>IVA 19%</t>
        </is>
      </c>
      <c r="M303" s="47" t="n">
        <v>2535086</v>
      </c>
      <c r="N303" s="47">
        <f>K303+M303</f>
        <v/>
      </c>
      <c r="O303" s="18" t="inlineStr">
        <is>
          <t>JULIO CESAR DEAVILA MARTINEZ</t>
        </is>
      </c>
      <c r="P303" s="18" t="inlineStr">
        <is>
          <t>ELECTRICOS DEL VALLE SAS</t>
        </is>
      </c>
      <c r="Q303" s="18" t="inlineStr">
        <is>
          <t>PLANEADA</t>
        </is>
      </c>
      <c r="R303" s="18" t="inlineStr">
        <is>
          <t>MINI GRANJAS</t>
        </is>
      </c>
      <c r="S303" s="18" t="inlineStr">
        <is>
          <t>EPE18672</t>
        </is>
      </c>
      <c r="T303" s="18" t="inlineStr">
        <is>
          <t>Cableado y conductores</t>
        </is>
      </c>
    </row>
    <row r="304">
      <c r="A304" s="42" t="n">
        <v>45931.36893518519</v>
      </c>
      <c r="B304" s="16" t="n">
        <v>634</v>
      </c>
      <c r="C304" s="16" t="n">
        <v>458</v>
      </c>
      <c r="D304" s="16" t="inlineStr">
        <is>
          <t>CERRADA</t>
        </is>
      </c>
      <c r="E304" s="16" t="inlineStr">
        <is>
          <t>CAUSADA</t>
        </is>
      </c>
      <c r="F304" s="16" t="inlineStr">
        <is>
          <t>Set (Electrico) Suministro</t>
        </is>
      </c>
      <c r="G304" s="16" t="inlineStr">
        <is>
          <t>(Sin Subgrupo)</t>
        </is>
      </c>
      <c r="H304" s="16" t="inlineStr">
        <is>
          <t>CABLE CU 1/0 AWG X METRO - UND</t>
        </is>
      </c>
      <c r="I304" s="43" t="n">
        <v>140</v>
      </c>
      <c r="J304" s="44" t="n">
        <v>34836.12</v>
      </c>
      <c r="K304" s="44" t="n">
        <v>4877056.8</v>
      </c>
      <c r="L304" s="16" t="inlineStr">
        <is>
          <t>IVA 19%</t>
        </is>
      </c>
      <c r="M304" s="44" t="n">
        <v>926640</v>
      </c>
      <c r="N304" s="44">
        <f>K304+M304</f>
        <v/>
      </c>
      <c r="O304" s="16" t="inlineStr">
        <is>
          <t>JULIO CESAR DEAVILA MARTINEZ</t>
        </is>
      </c>
      <c r="P304" s="16" t="inlineStr">
        <is>
          <t>ELECTRICOS DEL VALLE SAS</t>
        </is>
      </c>
      <c r="Q304" s="16" t="inlineStr">
        <is>
          <t>PLANEADA</t>
        </is>
      </c>
      <c r="R304" s="16" t="inlineStr">
        <is>
          <t>MINI GRANJAS</t>
        </is>
      </c>
      <c r="S304" s="16" t="inlineStr">
        <is>
          <t>EPE18672</t>
        </is>
      </c>
      <c r="T304" s="16" t="inlineStr">
        <is>
          <t>Cableado y conductores</t>
        </is>
      </c>
    </row>
    <row r="305">
      <c r="A305" s="45" t="n">
        <v>45931.36893518519</v>
      </c>
      <c r="B305" s="18" t="n">
        <v>634</v>
      </c>
      <c r="C305" s="18" t="n">
        <v>458</v>
      </c>
      <c r="D305" s="18" t="inlineStr">
        <is>
          <t>CERRADA</t>
        </is>
      </c>
      <c r="E305" s="18" t="inlineStr">
        <is>
          <t>CAUSADA</t>
        </is>
      </c>
      <c r="F305" s="18" t="inlineStr">
        <is>
          <t>Set (Electrico) Suministro</t>
        </is>
      </c>
      <c r="G305" s="18" t="inlineStr">
        <is>
          <t>(Sin Subgrupo)</t>
        </is>
      </c>
      <c r="H305" s="18" t="inlineStr">
        <is>
          <t>CURVA 4" PVC NACIONAL CONDUIT (90° - 1 CAMPANA) - TUBOSA/IMEC - UND</t>
        </is>
      </c>
      <c r="I305" s="46" t="n">
        <v>5</v>
      </c>
      <c r="J305" s="47" t="n">
        <v>37516.8</v>
      </c>
      <c r="K305" s="47" t="n">
        <v>187584</v>
      </c>
      <c r="L305" s="18" t="inlineStr">
        <is>
          <t>IVA 19%</t>
        </is>
      </c>
      <c r="M305" s="47" t="n">
        <v>35640</v>
      </c>
      <c r="N305" s="47">
        <f>K305+M305</f>
        <v/>
      </c>
      <c r="O305" s="18" t="inlineStr">
        <is>
          <t>JULIO CESAR DEAVILA MARTINEZ</t>
        </is>
      </c>
      <c r="P305" s="18" t="inlineStr">
        <is>
          <t>ELECTRICOS DEL VALLE SAS</t>
        </is>
      </c>
      <c r="Q305" s="18" t="inlineStr">
        <is>
          <t>PLANEADA</t>
        </is>
      </c>
      <c r="R305" s="18" t="inlineStr">
        <is>
          <t>MINI GRANJAS</t>
        </is>
      </c>
      <c r="S305" s="18" t="inlineStr">
        <is>
          <t>EPE18672</t>
        </is>
      </c>
      <c r="T305" s="18" t="inlineStr">
        <is>
          <t>Canalización y tubería</t>
        </is>
      </c>
    </row>
    <row r="306">
      <c r="A306" s="42" t="n">
        <v>45931.36893518519</v>
      </c>
      <c r="B306" s="16" t="n">
        <v>634</v>
      </c>
      <c r="C306" s="16" t="n">
        <v>458</v>
      </c>
      <c r="D306" s="16" t="inlineStr">
        <is>
          <t>CERRADA</t>
        </is>
      </c>
      <c r="E306" s="16" t="inlineStr">
        <is>
          <t>CAUSADA</t>
        </is>
      </c>
      <c r="F306" s="16" t="inlineStr">
        <is>
          <t>Set (Electrico) Suministro</t>
        </is>
      </c>
      <c r="G306" s="16" t="inlineStr">
        <is>
          <t>(Sin Subgrupo)</t>
        </is>
      </c>
      <c r="H306" s="16" t="inlineStr">
        <is>
          <t>CAJA REGISTRO DE INSPECCION PLASTICA CON TAPA - 30X30 CM 2002-30X30CM - UND</t>
        </is>
      </c>
      <c r="I306" s="43" t="n">
        <v>16</v>
      </c>
      <c r="J306" s="44" t="n">
        <v>41395.43</v>
      </c>
      <c r="K306" s="44" t="n">
        <v>662326.88</v>
      </c>
      <c r="L306" s="16" t="inlineStr">
        <is>
          <t>IVA 19%</t>
        </is>
      </c>
      <c r="M306" s="44" t="n">
        <v>125842</v>
      </c>
      <c r="N306" s="44">
        <f>K306+M306</f>
        <v/>
      </c>
      <c r="O306" s="16" t="inlineStr">
        <is>
          <t>JULIO CESAR DEAVILA MARTINEZ</t>
        </is>
      </c>
      <c r="P306" s="16" t="inlineStr">
        <is>
          <t>ELECTRICOS DEL VALLE SAS</t>
        </is>
      </c>
      <c r="Q306" s="16" t="inlineStr">
        <is>
          <t>PLANEADA</t>
        </is>
      </c>
      <c r="R306" s="16" t="inlineStr">
        <is>
          <t>MINI GRANJAS</t>
        </is>
      </c>
      <c r="S306" s="16" t="inlineStr">
        <is>
          <t>EPE18672</t>
        </is>
      </c>
      <c r="T306" s="16" t="inlineStr">
        <is>
          <t>RETIE / Legalización / Medición</t>
        </is>
      </c>
    </row>
    <row r="307">
      <c r="A307" s="45" t="n">
        <v>45931.36893518519</v>
      </c>
      <c r="B307" s="18" t="n">
        <v>634</v>
      </c>
      <c r="C307" s="18" t="n">
        <v>458</v>
      </c>
      <c r="D307" s="18" t="inlineStr">
        <is>
          <t>CERRADA</t>
        </is>
      </c>
      <c r="E307" s="18" t="inlineStr">
        <is>
          <t>CAUSADA</t>
        </is>
      </c>
      <c r="F307" s="18" t="inlineStr">
        <is>
          <t>Set (Electrico) Suministro</t>
        </is>
      </c>
      <c r="G307" s="18" t="inlineStr">
        <is>
          <t>(Sin Subgrupo)</t>
        </is>
      </c>
      <c r="H307" s="18" t="inlineStr">
        <is>
          <t>CANAL ESTRUCTURADO 4X2 (7/8"x 1 5/8") RANURADO 300M CALIBRE 14 G/C - GALCO - UND</t>
        </is>
      </c>
      <c r="I307" s="46" t="n">
        <v>12</v>
      </c>
      <c r="J307" s="47" t="n">
        <v>46846.41</v>
      </c>
      <c r="K307" s="47" t="n">
        <v>562156.92</v>
      </c>
      <c r="L307" s="18" t="inlineStr">
        <is>
          <t>IVA 19%</t>
        </is>
      </c>
      <c r="M307" s="47" t="n">
        <v>106809</v>
      </c>
      <c r="N307" s="47">
        <f>K307+M307</f>
        <v/>
      </c>
      <c r="O307" s="18" t="inlineStr">
        <is>
          <t>JULIO CESAR DEAVILA MARTINEZ</t>
        </is>
      </c>
      <c r="P307" s="18" t="inlineStr">
        <is>
          <t>ELECTRICOS DEL VALLE SAS</t>
        </is>
      </c>
      <c r="Q307" s="18" t="inlineStr">
        <is>
          <t>PLANEADA</t>
        </is>
      </c>
      <c r="R307" s="18" t="inlineStr">
        <is>
          <t>MINI GRANJAS</t>
        </is>
      </c>
      <c r="S307" s="18" t="inlineStr">
        <is>
          <t>EPE18672</t>
        </is>
      </c>
      <c r="T307" s="18" t="inlineStr">
        <is>
          <t>Canalización y tubería</t>
        </is>
      </c>
    </row>
    <row r="308">
      <c r="A308" s="42" t="n">
        <v>45931.36893518519</v>
      </c>
      <c r="B308" s="16" t="n">
        <v>634</v>
      </c>
      <c r="C308" s="16" t="n">
        <v>458</v>
      </c>
      <c r="D308" s="16" t="inlineStr">
        <is>
          <t>CERRADA</t>
        </is>
      </c>
      <c r="E308" s="16" t="inlineStr">
        <is>
          <t>CAUSADA</t>
        </is>
      </c>
      <c r="F308" s="16" t="inlineStr">
        <is>
          <t>Set (Electrico) Suministro</t>
        </is>
      </c>
      <c r="G308" s="16" t="inlineStr">
        <is>
          <t>(Sin Subgrupo)</t>
        </is>
      </c>
      <c r="H308" s="16" t="inlineStr">
        <is>
          <t>DUCTO 3" TDP 6MT CORRUGADO TUBOSA - UND</t>
        </is>
      </c>
      <c r="I308" s="43" t="n">
        <v>32</v>
      </c>
      <c r="J308" s="44" t="n">
        <v>52835.87</v>
      </c>
      <c r="K308" s="44" t="n">
        <v>1690747.84</v>
      </c>
      <c r="L308" s="16" t="inlineStr">
        <is>
          <t>IVA 19%</t>
        </is>
      </c>
      <c r="M308" s="44" t="n">
        <v>321242</v>
      </c>
      <c r="N308" s="44">
        <f>K308+M308</f>
        <v/>
      </c>
      <c r="O308" s="16" t="inlineStr">
        <is>
          <t>JULIO CESAR DEAVILA MARTINEZ</t>
        </is>
      </c>
      <c r="P308" s="16" t="inlineStr">
        <is>
          <t>ELECTRICOS DEL VALLE SAS</t>
        </is>
      </c>
      <c r="Q308" s="16" t="inlineStr">
        <is>
          <t>PLANEADA</t>
        </is>
      </c>
      <c r="R308" s="16" t="inlineStr">
        <is>
          <t>MINI GRANJAS</t>
        </is>
      </c>
      <c r="S308" s="16" t="inlineStr">
        <is>
          <t>EPE18672</t>
        </is>
      </c>
      <c r="T308" s="16" t="inlineStr">
        <is>
          <t>Canalización y tubería</t>
        </is>
      </c>
    </row>
    <row r="309">
      <c r="A309" s="45" t="n">
        <v>45931.36893518519</v>
      </c>
      <c r="B309" s="18" t="n">
        <v>634</v>
      </c>
      <c r="C309" s="18" t="n">
        <v>458</v>
      </c>
      <c r="D309" s="18" t="inlineStr">
        <is>
          <t>CERRADA</t>
        </is>
      </c>
      <c r="E309" s="18" t="inlineStr">
        <is>
          <t>CAUSADA</t>
        </is>
      </c>
      <c r="F309" s="18" t="inlineStr">
        <is>
          <t>Set (Electrico) Suministro</t>
        </is>
      </c>
      <c r="G309" s="18" t="inlineStr">
        <is>
          <t>(Sin Subgrupo)</t>
        </is>
      </c>
      <c r="H309" s="18" t="inlineStr">
        <is>
          <t>CURVA VERTICAL EXTERNA 90° BANDEJA SEMIPESADA 20x8 CM GALVANIZADA – GALCO - UND</t>
        </is>
      </c>
      <c r="I309" s="46" t="n">
        <v>2</v>
      </c>
      <c r="J309" s="47" t="n">
        <v>59952</v>
      </c>
      <c r="K309" s="47" t="n">
        <v>119904</v>
      </c>
      <c r="L309" s="18" t="inlineStr">
        <is>
          <t>IVA 19%</t>
        </is>
      </c>
      <c r="M309" s="47" t="n">
        <v>22781</v>
      </c>
      <c r="N309" s="47">
        <f>K309+M309</f>
        <v/>
      </c>
      <c r="O309" s="18" t="inlineStr">
        <is>
          <t>JULIO CESAR DEAVILA MARTINEZ</t>
        </is>
      </c>
      <c r="P309" s="18" t="inlineStr">
        <is>
          <t>ELECTRICOS DEL VALLE SAS</t>
        </is>
      </c>
      <c r="Q309" s="18" t="inlineStr">
        <is>
          <t>PLANEADA</t>
        </is>
      </c>
      <c r="R309" s="18" t="inlineStr">
        <is>
          <t>MINI GRANJAS</t>
        </is>
      </c>
      <c r="S309" s="18" t="inlineStr">
        <is>
          <t>EPE18672</t>
        </is>
      </c>
      <c r="T309" s="18" t="inlineStr">
        <is>
          <t>Canalización y tubería</t>
        </is>
      </c>
    </row>
    <row r="310">
      <c r="A310" s="42" t="n">
        <v>45931.36893518519</v>
      </c>
      <c r="B310" s="16" t="n">
        <v>634</v>
      </c>
      <c r="C310" s="16" t="n">
        <v>458</v>
      </c>
      <c r="D310" s="16" t="inlineStr">
        <is>
          <t>CERRADA</t>
        </is>
      </c>
      <c r="E310" s="16" t="inlineStr">
        <is>
          <t>CAUSADA</t>
        </is>
      </c>
      <c r="F310" s="16" t="inlineStr">
        <is>
          <t>Set (Electrico) Suministro</t>
        </is>
      </c>
      <c r="G310" s="16" t="inlineStr">
        <is>
          <t>(Sin Subgrupo)</t>
        </is>
      </c>
      <c r="H310" s="16" t="inlineStr">
        <is>
          <t>CHISPERO TIPO PISTOLA PARA SOLDADURA  - GROUNDING - UND</t>
        </is>
      </c>
      <c r="I310" s="43" t="n">
        <v>1</v>
      </c>
      <c r="J310" s="44" t="n">
        <v>61080</v>
      </c>
      <c r="K310" s="44" t="n">
        <v>61080</v>
      </c>
      <c r="L310" s="16" t="inlineStr">
        <is>
          <t>IVA 19%</t>
        </is>
      </c>
      <c r="M310" s="44" t="n">
        <v>11605</v>
      </c>
      <c r="N310" s="44">
        <f>K310+M310</f>
        <v/>
      </c>
      <c r="O310" s="16" t="inlineStr">
        <is>
          <t>JULIO CESAR DEAVILA MARTINEZ</t>
        </is>
      </c>
      <c r="P310" s="16" t="inlineStr">
        <is>
          <t>ELECTRICOS DEL VALLE SAS</t>
        </is>
      </c>
      <c r="Q310" s="16" t="inlineStr">
        <is>
          <t>PLANEADA</t>
        </is>
      </c>
      <c r="R310" s="16" t="inlineStr">
        <is>
          <t>MINI GRANJAS</t>
        </is>
      </c>
      <c r="S310" s="16" t="inlineStr">
        <is>
          <t>EPE18672</t>
        </is>
      </c>
      <c r="T310" s="16" t="inlineStr">
        <is>
          <t>Otros / sin clasificar</t>
        </is>
      </c>
    </row>
    <row r="311">
      <c r="A311" s="45" t="n">
        <v>45931.36893518519</v>
      </c>
      <c r="B311" s="18" t="n">
        <v>634</v>
      </c>
      <c r="C311" s="18" t="n">
        <v>458</v>
      </c>
      <c r="D311" s="18" t="inlineStr">
        <is>
          <t>CERRADA</t>
        </is>
      </c>
      <c r="E311" s="18" t="inlineStr">
        <is>
          <t>CAUSADA</t>
        </is>
      </c>
      <c r="F311" s="18" t="inlineStr">
        <is>
          <t>Set (Electrico) Suministro</t>
        </is>
      </c>
      <c r="G311" s="18" t="inlineStr">
        <is>
          <t>(Sin Subgrupo)</t>
        </is>
      </c>
      <c r="H311" s="18" t="inlineStr">
        <is>
          <t>CURVA HORIZONTAL 90° PARA BANDEJA TIPO ESCALERA 20CMX8CM - UND</t>
        </is>
      </c>
      <c r="I311" s="46" t="n">
        <v>3</v>
      </c>
      <c r="J311" s="47" t="n">
        <v>63880</v>
      </c>
      <c r="K311" s="47" t="n">
        <v>191640</v>
      </c>
      <c r="L311" s="18" t="inlineStr">
        <is>
          <t>IVA 19%</t>
        </is>
      </c>
      <c r="M311" s="47" t="n">
        <v>36411</v>
      </c>
      <c r="N311" s="47">
        <f>K311+M311</f>
        <v/>
      </c>
      <c r="O311" s="18" t="inlineStr">
        <is>
          <t>JULIO CESAR DEAVILA MARTINEZ</t>
        </is>
      </c>
      <c r="P311" s="18" t="inlineStr">
        <is>
          <t>ELECTRICOS DEL VALLE SAS</t>
        </is>
      </c>
      <c r="Q311" s="18" t="inlineStr">
        <is>
          <t>PLANEADA</t>
        </is>
      </c>
      <c r="R311" s="18" t="inlineStr">
        <is>
          <t>MINI GRANJAS</t>
        </is>
      </c>
      <c r="S311" s="18" t="inlineStr">
        <is>
          <t>EPE18672</t>
        </is>
      </c>
      <c r="T311" s="18" t="inlineStr">
        <is>
          <t>Canalización y tubería</t>
        </is>
      </c>
    </row>
    <row r="312">
      <c r="A312" s="42" t="n">
        <v>45931.36893518519</v>
      </c>
      <c r="B312" s="16" t="n">
        <v>634</v>
      </c>
      <c r="C312" s="16" t="n">
        <v>458</v>
      </c>
      <c r="D312" s="16" t="inlineStr">
        <is>
          <t>CERRADA</t>
        </is>
      </c>
      <c r="E312" s="16" t="inlineStr">
        <is>
          <t>CAUSADA</t>
        </is>
      </c>
      <c r="F312" s="16" t="inlineStr">
        <is>
          <t>Set (Electrico) Suministro</t>
        </is>
      </c>
      <c r="G312" s="16" t="inlineStr">
        <is>
          <t>(Sin Subgrupo)</t>
        </is>
      </c>
      <c r="H312" s="16" t="inlineStr">
        <is>
          <t>DUCTO 4" TDP 6MT CORRUGADO - TUBOSA - UND</t>
        </is>
      </c>
      <c r="I312" s="43" t="n">
        <v>52</v>
      </c>
      <c r="J312" s="44" t="n">
        <v>66054.44</v>
      </c>
      <c r="K312" s="44" t="n">
        <v>3434830.88</v>
      </c>
      <c r="L312" s="16" t="inlineStr">
        <is>
          <t>IVA 19%</t>
        </is>
      </c>
      <c r="M312" s="44" t="n">
        <v>652617</v>
      </c>
      <c r="N312" s="44">
        <f>K312+M312</f>
        <v/>
      </c>
      <c r="O312" s="16" t="inlineStr">
        <is>
          <t>JULIO CESAR DEAVILA MARTINEZ</t>
        </is>
      </c>
      <c r="P312" s="16" t="inlineStr">
        <is>
          <t>ELECTRICOS DEL VALLE SAS</t>
        </is>
      </c>
      <c r="Q312" s="16" t="inlineStr">
        <is>
          <t>PLANEADA</t>
        </is>
      </c>
      <c r="R312" s="16" t="inlineStr">
        <is>
          <t>MINI GRANJAS</t>
        </is>
      </c>
      <c r="S312" s="16" t="inlineStr">
        <is>
          <t>EPE18672</t>
        </is>
      </c>
      <c r="T312" s="16" t="inlineStr">
        <is>
          <t>Canalización y tubería</t>
        </is>
      </c>
    </row>
    <row r="313">
      <c r="A313" s="45" t="n">
        <v>45931.36893518519</v>
      </c>
      <c r="B313" s="18" t="n">
        <v>634</v>
      </c>
      <c r="C313" s="18" t="n">
        <v>458</v>
      </c>
      <c r="D313" s="18" t="inlineStr">
        <is>
          <t>CERRADA</t>
        </is>
      </c>
      <c r="E313" s="18" t="inlineStr">
        <is>
          <t>CAUSADA</t>
        </is>
      </c>
      <c r="F313" s="18" t="inlineStr">
        <is>
          <t>Set (Electrico) Suministro</t>
        </is>
      </c>
      <c r="G313" s="18" t="inlineStr">
        <is>
          <t>(Sin Subgrupo)</t>
        </is>
      </c>
      <c r="H313" s="18" t="inlineStr">
        <is>
          <t>CURVA VERTICAL EXTERIOR 90° BANDEJA SEMIPESADA 50x8cms GALVANIZADA - GALCO - UND</t>
        </is>
      </c>
      <c r="I313" s="46" t="n">
        <v>2</v>
      </c>
      <c r="J313" s="47" t="n">
        <v>68913</v>
      </c>
      <c r="K313" s="47" t="n">
        <v>137826</v>
      </c>
      <c r="L313" s="18" t="inlineStr">
        <is>
          <t>IVA 19%</t>
        </is>
      </c>
      <c r="M313" s="47" t="n">
        <v>26186</v>
      </c>
      <c r="N313" s="47">
        <f>K313+M313</f>
        <v/>
      </c>
      <c r="O313" s="18" t="inlineStr">
        <is>
          <t>JULIO CESAR DEAVILA MARTINEZ</t>
        </is>
      </c>
      <c r="P313" s="18" t="inlineStr">
        <is>
          <t>ELECTRICOS DEL VALLE SAS</t>
        </is>
      </c>
      <c r="Q313" s="18" t="inlineStr">
        <is>
          <t>PLANEADA</t>
        </is>
      </c>
      <c r="R313" s="18" t="inlineStr">
        <is>
          <t>MINI GRANJAS</t>
        </is>
      </c>
      <c r="S313" s="18" t="inlineStr">
        <is>
          <t>EPE18672</t>
        </is>
      </c>
      <c r="T313" s="18" t="inlineStr">
        <is>
          <t>Canalización y tubería</t>
        </is>
      </c>
    </row>
    <row r="314">
      <c r="A314" s="42" t="n">
        <v>45931.36893518519</v>
      </c>
      <c r="B314" s="16" t="n">
        <v>634</v>
      </c>
      <c r="C314" s="16" t="n">
        <v>458</v>
      </c>
      <c r="D314" s="16" t="inlineStr">
        <is>
          <t>CERRADA</t>
        </is>
      </c>
      <c r="E314" s="16" t="inlineStr">
        <is>
          <t>CAUSADA</t>
        </is>
      </c>
      <c r="F314" s="16" t="inlineStr">
        <is>
          <t>Set (Electrico) Suministro</t>
        </is>
      </c>
      <c r="G314" s="16" t="inlineStr">
        <is>
          <t>(Sin Subgrupo)</t>
        </is>
      </c>
      <c r="H314" s="16" t="inlineStr">
        <is>
          <t>CAPACETE 4" IMC GALVANIZADO - S/M - UND</t>
        </is>
      </c>
      <c r="I314" s="43" t="n">
        <v>1</v>
      </c>
      <c r="J314" s="44" t="n">
        <v>81926</v>
      </c>
      <c r="K314" s="44" t="n">
        <v>81926</v>
      </c>
      <c r="L314" s="16" t="inlineStr">
        <is>
          <t>IVA 19%</t>
        </is>
      </c>
      <c r="M314" s="44" t="n">
        <v>15565</v>
      </c>
      <c r="N314" s="44">
        <f>K314+M314</f>
        <v/>
      </c>
      <c r="O314" s="16" t="inlineStr">
        <is>
          <t>JULIO CESAR DEAVILA MARTINEZ</t>
        </is>
      </c>
      <c r="P314" s="16" t="inlineStr">
        <is>
          <t>ELECTRICOS DEL VALLE SAS</t>
        </is>
      </c>
      <c r="Q314" s="16" t="inlineStr">
        <is>
          <t>PLANEADA</t>
        </is>
      </c>
      <c r="R314" s="16" t="inlineStr">
        <is>
          <t>MINI GRANJAS</t>
        </is>
      </c>
      <c r="S314" s="16" t="inlineStr">
        <is>
          <t>EPE18672</t>
        </is>
      </c>
      <c r="T314" s="16" t="inlineStr">
        <is>
          <t>Otros / sin clasificar</t>
        </is>
      </c>
    </row>
    <row r="315">
      <c r="A315" s="45" t="n">
        <v>45931.36893518519</v>
      </c>
      <c r="B315" s="18" t="n">
        <v>634</v>
      </c>
      <c r="C315" s="18" t="n">
        <v>458</v>
      </c>
      <c r="D315" s="18" t="inlineStr">
        <is>
          <t>CERRADA</t>
        </is>
      </c>
      <c r="E315" s="18" t="inlineStr">
        <is>
          <t>CAUSADA</t>
        </is>
      </c>
      <c r="F315" s="18" t="inlineStr">
        <is>
          <t>Set (Electrico) Suministro</t>
        </is>
      </c>
      <c r="G315" s="18" t="inlineStr">
        <is>
          <t>(Sin Subgrupo)</t>
        </is>
      </c>
      <c r="H315" s="18" t="inlineStr">
        <is>
          <t>BANDEJA PORTACABLE TIPO ESCALERA 20X8X2.401305-CM GALVANIZADA - UND</t>
        </is>
      </c>
      <c r="I315" s="46" t="n">
        <v>5</v>
      </c>
      <c r="J315" s="47" t="n">
        <v>120257</v>
      </c>
      <c r="K315" s="47" t="n">
        <v>601285</v>
      </c>
      <c r="L315" s="18" t="inlineStr">
        <is>
          <t>IVA 19%</t>
        </is>
      </c>
      <c r="M315" s="47" t="n">
        <v>114244</v>
      </c>
      <c r="N315" s="47">
        <f>K315+M315</f>
        <v/>
      </c>
      <c r="O315" s="18" t="inlineStr">
        <is>
          <t>JULIO CESAR DEAVILA MARTINEZ</t>
        </is>
      </c>
      <c r="P315" s="18" t="inlineStr">
        <is>
          <t>ELECTRICOS DEL VALLE SAS</t>
        </is>
      </c>
      <c r="Q315" s="18" t="inlineStr">
        <is>
          <t>PLANEADA</t>
        </is>
      </c>
      <c r="R315" s="18" t="inlineStr">
        <is>
          <t>MINI GRANJAS</t>
        </is>
      </c>
      <c r="S315" s="18" t="inlineStr">
        <is>
          <t>EPE18672</t>
        </is>
      </c>
      <c r="T315" s="18" t="inlineStr">
        <is>
          <t>Cableado y conductores</t>
        </is>
      </c>
    </row>
    <row r="316">
      <c r="A316" s="42" t="n">
        <v>45931.36893518519</v>
      </c>
      <c r="B316" s="16" t="n">
        <v>634</v>
      </c>
      <c r="C316" s="16" t="n">
        <v>458</v>
      </c>
      <c r="D316" s="16" t="inlineStr">
        <is>
          <t>CERRADA</t>
        </is>
      </c>
      <c r="E316" s="16" t="inlineStr">
        <is>
          <t>CAUSADA</t>
        </is>
      </c>
      <c r="F316" s="16" t="inlineStr">
        <is>
          <t>Set (Electrico) Suministro</t>
        </is>
      </c>
      <c r="G316" s="16" t="inlineStr">
        <is>
          <t>(Sin Subgrupo)</t>
        </is>
      </c>
      <c r="H316" s="16" t="inlineStr">
        <is>
          <t>BANDEJA PORTACABLE TIPO ESCALERA SEMIPESADA 15 BARROTES 50 X 8 X 24 MT GALV/CALIENTE - GALCO - UND</t>
        </is>
      </c>
      <c r="I316" s="43" t="n">
        <v>5</v>
      </c>
      <c r="J316" s="44" t="n">
        <v>144612.2</v>
      </c>
      <c r="K316" s="44" t="n">
        <v>723061</v>
      </c>
      <c r="L316" s="16" t="inlineStr">
        <is>
          <t>IVA 19%</t>
        </is>
      </c>
      <c r="M316" s="44" t="n">
        <v>137381</v>
      </c>
      <c r="N316" s="44">
        <f>K316+M316</f>
        <v/>
      </c>
      <c r="O316" s="16" t="inlineStr">
        <is>
          <t>JULIO CESAR DEAVILA MARTINEZ</t>
        </is>
      </c>
      <c r="P316" s="16" t="inlineStr">
        <is>
          <t>ELECTRICOS DEL VALLE SAS</t>
        </is>
      </c>
      <c r="Q316" s="16" t="inlineStr">
        <is>
          <t>PLANEADA</t>
        </is>
      </c>
      <c r="R316" s="16" t="inlineStr">
        <is>
          <t>MINI GRANJAS</t>
        </is>
      </c>
      <c r="S316" s="16" t="inlineStr">
        <is>
          <t>EPE18672</t>
        </is>
      </c>
      <c r="T316" s="16" t="inlineStr">
        <is>
          <t>Cableado y conductores</t>
        </is>
      </c>
    </row>
    <row r="317">
      <c r="A317" s="45" t="n">
        <v>45931.36893518519</v>
      </c>
      <c r="B317" s="18" t="n">
        <v>634</v>
      </c>
      <c r="C317" s="18" t="n">
        <v>458</v>
      </c>
      <c r="D317" s="18" t="inlineStr">
        <is>
          <t>CERRADA</t>
        </is>
      </c>
      <c r="E317" s="18" t="inlineStr">
        <is>
          <t>CAUSADA</t>
        </is>
      </c>
      <c r="F317" s="18" t="inlineStr">
        <is>
          <t>Set (Electrico) Suministro</t>
        </is>
      </c>
      <c r="G317" s="18" t="inlineStr">
        <is>
          <t>(Sin Subgrupo)</t>
        </is>
      </c>
      <c r="H317" s="18" t="inlineStr">
        <is>
          <t>MOLDE EN X 1/0-1/0 - GROUNDING - UND</t>
        </is>
      </c>
      <c r="I317" s="46" t="n">
        <v>2</v>
      </c>
      <c r="J317" s="47" t="n">
        <v>147569.5</v>
      </c>
      <c r="K317" s="47" t="n">
        <v>295139</v>
      </c>
      <c r="L317" s="18" t="inlineStr">
        <is>
          <t>IVA 19%</t>
        </is>
      </c>
      <c r="M317" s="47" t="n">
        <v>56076</v>
      </c>
      <c r="N317" s="47">
        <f>K317+M317</f>
        <v/>
      </c>
      <c r="O317" s="18" t="inlineStr">
        <is>
          <t>JULIO CESAR DEAVILA MARTINEZ</t>
        </is>
      </c>
      <c r="P317" s="18" t="inlineStr">
        <is>
          <t>ELECTRICOS DEL VALLE SAS</t>
        </is>
      </c>
      <c r="Q317" s="18" t="inlineStr">
        <is>
          <t>PLANEADA</t>
        </is>
      </c>
      <c r="R317" s="18" t="inlineStr">
        <is>
          <t>MINI GRANJAS</t>
        </is>
      </c>
      <c r="S317" s="18" t="inlineStr">
        <is>
          <t>EPE18672</t>
        </is>
      </c>
      <c r="T317" s="18" t="inlineStr">
        <is>
          <t>Otros / sin clasificar</t>
        </is>
      </c>
    </row>
    <row r="318">
      <c r="A318" s="42" t="n">
        <v>45931.36893518519</v>
      </c>
      <c r="B318" s="16" t="n">
        <v>634</v>
      </c>
      <c r="C318" s="16" t="n">
        <v>458</v>
      </c>
      <c r="D318" s="16" t="inlineStr">
        <is>
          <t>CERRADA</t>
        </is>
      </c>
      <c r="E318" s="16" t="inlineStr">
        <is>
          <t>CAUSADA</t>
        </is>
      </c>
      <c r="F318" s="16" t="inlineStr">
        <is>
          <t>Set (Electrico) Suministro</t>
        </is>
      </c>
      <c r="G318" s="16" t="inlineStr">
        <is>
          <t>(Sin Subgrupo)</t>
        </is>
      </c>
      <c r="H318" s="16" t="inlineStr">
        <is>
          <t>MOLDE EN T 1/0-VAR 5/8 - GROUNDING - UND</t>
        </is>
      </c>
      <c r="I318" s="43" t="n">
        <v>2</v>
      </c>
      <c r="J318" s="44" t="n">
        <v>147569.5</v>
      </c>
      <c r="K318" s="44" t="n">
        <v>295139</v>
      </c>
      <c r="L318" s="16" t="inlineStr">
        <is>
          <t>IVA 19%</t>
        </is>
      </c>
      <c r="M318" s="44" t="n">
        <v>56076</v>
      </c>
      <c r="N318" s="44">
        <f>K318+M318</f>
        <v/>
      </c>
      <c r="O318" s="16" t="inlineStr">
        <is>
          <t>JULIO CESAR DEAVILA MARTINEZ</t>
        </is>
      </c>
      <c r="P318" s="16" t="inlineStr">
        <is>
          <t>ELECTRICOS DEL VALLE SAS</t>
        </is>
      </c>
      <c r="Q318" s="16" t="inlineStr">
        <is>
          <t>PLANEADA</t>
        </is>
      </c>
      <c r="R318" s="16" t="inlineStr">
        <is>
          <t>MINI GRANJAS</t>
        </is>
      </c>
      <c r="S318" s="16" t="inlineStr">
        <is>
          <t>EPE18672</t>
        </is>
      </c>
      <c r="T318" s="16" t="inlineStr">
        <is>
          <t>Otros / sin clasificar</t>
        </is>
      </c>
    </row>
    <row r="319">
      <c r="A319" s="45" t="n">
        <v>45931.36893518519</v>
      </c>
      <c r="B319" s="18" t="n">
        <v>634</v>
      </c>
      <c r="C319" s="18" t="n">
        <v>458</v>
      </c>
      <c r="D319" s="18" t="inlineStr">
        <is>
          <t>CERRADA</t>
        </is>
      </c>
      <c r="E319" s="18" t="inlineStr">
        <is>
          <t>CAUSADA</t>
        </is>
      </c>
      <c r="F319" s="18" t="inlineStr">
        <is>
          <t>Set (Electrico) Suministro</t>
        </is>
      </c>
      <c r="G319" s="18" t="inlineStr">
        <is>
          <t>(Sin Subgrupo)</t>
        </is>
      </c>
      <c r="H319" s="18" t="inlineStr">
        <is>
          <t>CANALETA METALICA  20X10 CM X 240 M TORNILLO S/D PREGALVANIZADA Y PINTADA - GALCO 27-CMTTGP2010 - UND</t>
        </is>
      </c>
      <c r="I319" s="46" t="n">
        <v>4</v>
      </c>
      <c r="J319" s="47" t="n">
        <v>147920</v>
      </c>
      <c r="K319" s="47" t="n">
        <v>591680</v>
      </c>
      <c r="L319" s="18" t="inlineStr">
        <is>
          <t>IVA 19%</t>
        </is>
      </c>
      <c r="M319" s="47" t="n">
        <v>112419</v>
      </c>
      <c r="N319" s="47">
        <f>K319+M319</f>
        <v/>
      </c>
      <c r="O319" s="18" t="inlineStr">
        <is>
          <t>JULIO CESAR DEAVILA MARTINEZ</t>
        </is>
      </c>
      <c r="P319" s="18" t="inlineStr">
        <is>
          <t>ELECTRICOS DEL VALLE SAS</t>
        </is>
      </c>
      <c r="Q319" s="18" t="inlineStr">
        <is>
          <t>PLANEADA</t>
        </is>
      </c>
      <c r="R319" s="18" t="inlineStr">
        <is>
          <t>MINI GRANJAS</t>
        </is>
      </c>
      <c r="S319" s="18" t="inlineStr">
        <is>
          <t>EPE18672</t>
        </is>
      </c>
      <c r="T319" s="18" t="inlineStr">
        <is>
          <t>Canalización y tubería</t>
        </is>
      </c>
    </row>
    <row r="320">
      <c r="A320" s="42" t="n">
        <v>45931.36893518519</v>
      </c>
      <c r="B320" s="16" t="n">
        <v>634</v>
      </c>
      <c r="C320" s="16" t="n">
        <v>458</v>
      </c>
      <c r="D320" s="16" t="inlineStr">
        <is>
          <t>CERRADA</t>
        </is>
      </c>
      <c r="E320" s="16" t="inlineStr">
        <is>
          <t>CAUSADA</t>
        </is>
      </c>
      <c r="F320" s="16" t="inlineStr">
        <is>
          <t>Set (Electrico) Suministro</t>
        </is>
      </c>
      <c r="G320" s="16" t="inlineStr">
        <is>
          <t>(Sin Subgrupo)</t>
        </is>
      </c>
      <c r="H320" s="16" t="inlineStr">
        <is>
          <t>MOLDE EN T 1/0-1/0 CABLE - CABLE - GROUNDING - UND</t>
        </is>
      </c>
      <c r="I320" s="43" t="n">
        <v>3</v>
      </c>
      <c r="J320" s="44" t="n">
        <v>148453.66</v>
      </c>
      <c r="K320" s="44" t="n">
        <v>445360.98</v>
      </c>
      <c r="L320" s="16" t="inlineStr">
        <is>
          <t>IVA 19%</t>
        </is>
      </c>
      <c r="M320" s="44" t="n">
        <v>84618</v>
      </c>
      <c r="N320" s="44">
        <f>K320+M320</f>
        <v/>
      </c>
      <c r="O320" s="16" t="inlineStr">
        <is>
          <t>JULIO CESAR DEAVILA MARTINEZ</t>
        </is>
      </c>
      <c r="P320" s="16" t="inlineStr">
        <is>
          <t>ELECTRICOS DEL VALLE SAS</t>
        </is>
      </c>
      <c r="Q320" s="16" t="inlineStr">
        <is>
          <t>PLANEADA</t>
        </is>
      </c>
      <c r="R320" s="16" t="inlineStr">
        <is>
          <t>MINI GRANJAS</t>
        </is>
      </c>
      <c r="S320" s="16" t="inlineStr">
        <is>
          <t>EPE18672</t>
        </is>
      </c>
      <c r="T320" s="16" t="inlineStr">
        <is>
          <t>Cableado y conductores</t>
        </is>
      </c>
    </row>
    <row r="321">
      <c r="A321" s="45" t="n">
        <v>45931.36893518519</v>
      </c>
      <c r="B321" s="18" t="n">
        <v>634</v>
      </c>
      <c r="C321" s="18" t="n">
        <v>458</v>
      </c>
      <c r="D321" s="18" t="inlineStr">
        <is>
          <t>CERRADA</t>
        </is>
      </c>
      <c r="E321" s="18" t="inlineStr">
        <is>
          <t>CAUSADA</t>
        </is>
      </c>
      <c r="F321" s="18" t="inlineStr">
        <is>
          <t>Set (Electrico) Suministro</t>
        </is>
      </c>
      <c r="G321" s="18" t="inlineStr">
        <is>
          <t>(Sin Subgrupo)</t>
        </is>
      </c>
      <c r="H321" s="18" t="inlineStr">
        <is>
          <t>PINZA PARA MOLDE UNIVERSAL - GROUNDING - UND</t>
        </is>
      </c>
      <c r="I321" s="46" t="n">
        <v>2</v>
      </c>
      <c r="J321" s="47" t="n">
        <v>154308</v>
      </c>
      <c r="K321" s="47" t="n">
        <v>308616</v>
      </c>
      <c r="L321" s="18" t="inlineStr">
        <is>
          <t>IVA 19%</t>
        </is>
      </c>
      <c r="M321" s="47" t="n">
        <v>58637</v>
      </c>
      <c r="N321" s="47">
        <f>K321+M321</f>
        <v/>
      </c>
      <c r="O321" s="18" t="inlineStr">
        <is>
          <t>JULIO CESAR DEAVILA MARTINEZ</t>
        </is>
      </c>
      <c r="P321" s="18" t="inlineStr">
        <is>
          <t>ELECTRICOS DEL VALLE SAS</t>
        </is>
      </c>
      <c r="Q321" s="18" t="inlineStr">
        <is>
          <t>PLANEADA</t>
        </is>
      </c>
      <c r="R321" s="18" t="inlineStr">
        <is>
          <t>MINI GRANJAS</t>
        </is>
      </c>
      <c r="S321" s="18" t="inlineStr">
        <is>
          <t>EPE18672</t>
        </is>
      </c>
      <c r="T321" s="18" t="inlineStr">
        <is>
          <t>Otros / sin clasificar</t>
        </is>
      </c>
    </row>
    <row r="322">
      <c r="A322" s="42" t="n">
        <v>45931.36893518519</v>
      </c>
      <c r="B322" s="16" t="n">
        <v>634</v>
      </c>
      <c r="C322" s="16" t="n">
        <v>458</v>
      </c>
      <c r="D322" s="16" t="inlineStr">
        <is>
          <t>CERRADA</t>
        </is>
      </c>
      <c r="E322" s="16" t="inlineStr">
        <is>
          <t>CAUSADA</t>
        </is>
      </c>
      <c r="F322" s="16" t="inlineStr">
        <is>
          <t>Set (Electrico) Suministro</t>
        </is>
      </c>
      <c r="G322" s="16" t="inlineStr">
        <is>
          <t>(Sin Subgrupo)</t>
        </is>
      </c>
      <c r="H322" s="16" t="inlineStr">
        <is>
          <t>CRUZ HORIZONTAL DE 50X50 50X30 X8 CMS EN LAMINA PREGALVANIZADA - CL - UND</t>
        </is>
      </c>
      <c r="I322" s="43" t="n">
        <v>1</v>
      </c>
      <c r="J322" s="44" t="n">
        <v>167786</v>
      </c>
      <c r="K322" s="44" t="n">
        <v>167786</v>
      </c>
      <c r="L322" s="16" t="inlineStr">
        <is>
          <t>IVA 19%</t>
        </is>
      </c>
      <c r="M322" s="44" t="n">
        <v>31879</v>
      </c>
      <c r="N322" s="44">
        <f>K322+M322</f>
        <v/>
      </c>
      <c r="O322" s="16" t="inlineStr">
        <is>
          <t>JULIO CESAR DEAVILA MARTINEZ</t>
        </is>
      </c>
      <c r="P322" s="16" t="inlineStr">
        <is>
          <t>ELECTRICOS DEL VALLE SAS</t>
        </is>
      </c>
      <c r="Q322" s="16" t="inlineStr">
        <is>
          <t>PLANEADA</t>
        </is>
      </c>
      <c r="R322" s="16" t="inlineStr">
        <is>
          <t>MINI GRANJAS</t>
        </is>
      </c>
      <c r="S322" s="16" t="inlineStr">
        <is>
          <t>EPE18672</t>
        </is>
      </c>
      <c r="T322" s="16" t="inlineStr">
        <is>
          <t>Otros / sin clasificar</t>
        </is>
      </c>
    </row>
    <row r="323">
      <c r="A323" s="45" t="n">
        <v>45931.36893518519</v>
      </c>
      <c r="B323" s="18" t="n">
        <v>634</v>
      </c>
      <c r="C323" s="18" t="n">
        <v>458</v>
      </c>
      <c r="D323" s="18" t="inlineStr">
        <is>
          <t>CERRADA</t>
        </is>
      </c>
      <c r="E323" s="18" t="inlineStr">
        <is>
          <t>CAUSADA</t>
        </is>
      </c>
      <c r="F323" s="18" t="inlineStr">
        <is>
          <t>Set (Electrico) Suministro</t>
        </is>
      </c>
      <c r="G323" s="18" t="inlineStr">
        <is>
          <t>(Sin Subgrupo)</t>
        </is>
      </c>
      <c r="H323" s="18" t="inlineStr">
        <is>
          <t>CABLE CU 500KCMIL CENTELFLEX (253mm²) 6/1kV - UND</t>
        </is>
      </c>
      <c r="I323" s="46" t="n">
        <v>120</v>
      </c>
      <c r="J323" s="47" t="n">
        <v>168153.8</v>
      </c>
      <c r="K323" s="47" t="n">
        <v>20178456</v>
      </c>
      <c r="L323" s="18" t="inlineStr">
        <is>
          <t>IVA 19%</t>
        </is>
      </c>
      <c r="M323" s="47" t="n">
        <v>3833906</v>
      </c>
      <c r="N323" s="47">
        <f>K323+M323</f>
        <v/>
      </c>
      <c r="O323" s="18" t="inlineStr">
        <is>
          <t>JULIO CESAR DEAVILA MARTINEZ</t>
        </is>
      </c>
      <c r="P323" s="18" t="inlineStr">
        <is>
          <t>ELECTRICOS DEL VALLE SAS</t>
        </is>
      </c>
      <c r="Q323" s="18" t="inlineStr">
        <is>
          <t>PLANEADA</t>
        </is>
      </c>
      <c r="R323" s="18" t="inlineStr">
        <is>
          <t>MINI GRANJAS</t>
        </is>
      </c>
      <c r="S323" s="18" t="inlineStr">
        <is>
          <t>EPE18672</t>
        </is>
      </c>
      <c r="T323" s="18" t="inlineStr">
        <is>
          <t>Cableado y conductores</t>
        </is>
      </c>
    </row>
    <row r="324">
      <c r="A324" s="42" t="n">
        <v>45931.36893518519</v>
      </c>
      <c r="B324" s="16" t="n">
        <v>634</v>
      </c>
      <c r="C324" s="16" t="n">
        <v>458</v>
      </c>
      <c r="D324" s="16" t="inlineStr">
        <is>
          <t>CERRADA</t>
        </is>
      </c>
      <c r="E324" s="16" t="inlineStr">
        <is>
          <t>CAUSADA</t>
        </is>
      </c>
      <c r="F324" s="16" t="inlineStr">
        <is>
          <t>Set (Electrico) Suministro</t>
        </is>
      </c>
      <c r="G324" s="16" t="inlineStr">
        <is>
          <t>(Sin Subgrupo)</t>
        </is>
      </c>
      <c r="H324" s="16" t="inlineStr">
        <is>
          <t>CANALETA METALICA  30X10 CM X 240 M TORNILLO S/D PREGALVANIZADA Y PINTADA - GALCO - UND</t>
        </is>
      </c>
      <c r="I324" s="43" t="n">
        <v>3</v>
      </c>
      <c r="J324" s="44" t="n">
        <v>188907</v>
      </c>
      <c r="K324" s="44" t="n">
        <v>566721</v>
      </c>
      <c r="L324" s="16" t="inlineStr">
        <is>
          <t>IVA 19%</t>
        </is>
      </c>
      <c r="M324" s="44" t="n">
        <v>107676</v>
      </c>
      <c r="N324" s="44">
        <f>K324+M324</f>
        <v/>
      </c>
      <c r="O324" s="16" t="inlineStr">
        <is>
          <t>JULIO CESAR DEAVILA MARTINEZ</t>
        </is>
      </c>
      <c r="P324" s="16" t="inlineStr">
        <is>
          <t>ELECTRICOS DEL VALLE SAS</t>
        </is>
      </c>
      <c r="Q324" s="16" t="inlineStr">
        <is>
          <t>PLANEADA</t>
        </is>
      </c>
      <c r="R324" s="16" t="inlineStr">
        <is>
          <t>MINI GRANJAS</t>
        </is>
      </c>
      <c r="S324" s="16" t="inlineStr">
        <is>
          <t>EPE18672</t>
        </is>
      </c>
      <c r="T324" s="16" t="inlineStr">
        <is>
          <t>Canalización y tubería</t>
        </is>
      </c>
    </row>
    <row r="325">
      <c r="A325" s="45" t="n">
        <v>45931.36893518519</v>
      </c>
      <c r="B325" s="18" t="n">
        <v>634</v>
      </c>
      <c r="C325" s="18" t="n">
        <v>458</v>
      </c>
      <c r="D325" s="18" t="inlineStr">
        <is>
          <t>CERRADA</t>
        </is>
      </c>
      <c r="E325" s="18" t="inlineStr">
        <is>
          <t>CAUSADA</t>
        </is>
      </c>
      <c r="F325" s="18" t="inlineStr">
        <is>
          <t>Set (Electrico) Suministro</t>
        </is>
      </c>
      <c r="G325" s="18" t="inlineStr">
        <is>
          <t>(Sin Subgrupo)</t>
        </is>
      </c>
      <c r="H325" s="18" t="inlineStr">
        <is>
          <t>VARILLA SOLIDA DE COBRE 9/16 X 2.40MTS 14MM 2004-920235 - UND</t>
        </is>
      </c>
      <c r="I325" s="46" t="n">
        <v>12</v>
      </c>
      <c r="J325" s="47" t="n">
        <v>209012.66</v>
      </c>
      <c r="K325" s="47" t="n">
        <v>2508151.92</v>
      </c>
      <c r="L325" s="18" t="inlineStr">
        <is>
          <t>IVA 19%</t>
        </is>
      </c>
      <c r="M325" s="47" t="n">
        <v>476548</v>
      </c>
      <c r="N325" s="47">
        <f>K325+M325</f>
        <v/>
      </c>
      <c r="O325" s="18" t="inlineStr">
        <is>
          <t>JULIO CESAR DEAVILA MARTINEZ</t>
        </is>
      </c>
      <c r="P325" s="18" t="inlineStr">
        <is>
          <t>ELECTRICOS DEL VALLE SAS</t>
        </is>
      </c>
      <c r="Q325" s="18" t="inlineStr">
        <is>
          <t>PLANEADA</t>
        </is>
      </c>
      <c r="R325" s="18" t="inlineStr">
        <is>
          <t>MINI GRANJAS</t>
        </is>
      </c>
      <c r="S325" s="18" t="inlineStr">
        <is>
          <t>EPE18672</t>
        </is>
      </c>
      <c r="T325" s="18" t="inlineStr">
        <is>
          <t>Puesta a tierra</t>
        </is>
      </c>
    </row>
    <row r="326">
      <c r="A326" s="42" t="n">
        <v>45931.36893518519</v>
      </c>
      <c r="B326" s="16" t="n">
        <v>634</v>
      </c>
      <c r="C326" s="16" t="n">
        <v>458</v>
      </c>
      <c r="D326" s="16" t="inlineStr">
        <is>
          <t>CERRADA</t>
        </is>
      </c>
      <c r="E326" s="16" t="inlineStr">
        <is>
          <t>CAUSADA</t>
        </is>
      </c>
      <c r="F326" s="16" t="inlineStr">
        <is>
          <t>Set (Electrico) Suministro</t>
        </is>
      </c>
      <c r="G326" s="16" t="inlineStr">
        <is>
          <t>(Sin Subgrupo)</t>
        </is>
      </c>
      <c r="H326" s="16" t="inlineStr">
        <is>
          <t>TUBO IMC 4" X 3M - UND</t>
        </is>
      </c>
      <c r="I326" s="43" t="n">
        <v>2</v>
      </c>
      <c r="J326" s="44" t="n">
        <v>258655.5</v>
      </c>
      <c r="K326" s="44" t="n">
        <v>517311</v>
      </c>
      <c r="L326" s="16" t="inlineStr">
        <is>
          <t>IVA 19%</t>
        </is>
      </c>
      <c r="M326" s="44" t="n">
        <v>98289</v>
      </c>
      <c r="N326" s="44">
        <f>K326+M326</f>
        <v/>
      </c>
      <c r="O326" s="16" t="inlineStr">
        <is>
          <t>JULIO CESAR DEAVILA MARTINEZ</t>
        </is>
      </c>
      <c r="P326" s="16" t="inlineStr">
        <is>
          <t>ELECTRICOS DEL VALLE SAS</t>
        </is>
      </c>
      <c r="Q326" s="16" t="inlineStr">
        <is>
          <t>PLANEADA</t>
        </is>
      </c>
      <c r="R326" s="16" t="inlineStr">
        <is>
          <t>MINI GRANJAS</t>
        </is>
      </c>
      <c r="S326" s="16" t="inlineStr">
        <is>
          <t>EPE18672</t>
        </is>
      </c>
      <c r="T326" s="16" t="inlineStr">
        <is>
          <t>Canalización y tubería</t>
        </is>
      </c>
    </row>
  </sheetData>
  <autoFilter ref="A1:T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2026-09-21T19:16:50Z</dcterms:created>
  <dcterms:modified xsi:type="dcterms:W3CDTF">2026-09-21T19:16:50Z</dcterms:modified>
</cp:coreProperties>
</file>