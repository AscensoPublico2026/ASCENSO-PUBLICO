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ategoría" sheetId="2" state="visible" r:id="rId2"/>
    <sheet name="Por proveedor" sheetId="3" state="visible" r:id="rId3"/>
    <sheet name="Por estado" sheetId="4" state="visible" r:id="rId4"/>
    <sheet name="Detalle" sheetId="5" state="visible" r:id="rId5"/>
  </sheets>
  <definedNames>
    <definedName name="_xlnm._FilterDatabase" localSheetId="4" hidden="1">'Detalle'!$A$1:$S$214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COP&quot;"/>
    <numFmt numFmtId="165" formatCode="0.0%"/>
    <numFmt numFmtId="166" formatCode="yyyy-mm-dd h:mm:ss"/>
    <numFmt numFmtId="167" formatCode="yyyy-mm-dd"/>
    <numFmt numFmtId="168" formatCode="#,##0.##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C9A227"/>
      <sz val="13"/>
    </font>
    <font>
      <i val="1"/>
      <color rgb="005A6472"/>
      <sz val="10"/>
    </font>
    <font>
      <color rgb="005A6472"/>
      <sz val="9"/>
    </font>
    <font>
      <b val="1"/>
      <color rgb="000B1F3A"/>
      <sz val="12"/>
    </font>
    <font>
      <b val="1"/>
      <color rgb="000B1F3A"/>
      <sz val="11"/>
    </font>
    <font>
      <color rgb="000B1F3A"/>
      <sz val="11"/>
    </font>
    <font>
      <b val="1"/>
      <color rgb="000B1F3A"/>
    </font>
    <font>
      <b val="1"/>
      <color rgb="00FFFFFF"/>
      <sz val="1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3ECCF"/>
      </patternFill>
    </fill>
    <fill>
      <patternFill patternType="solid">
        <fgColor rgb="00C9A227"/>
      </patternFill>
    </fill>
    <fill>
      <patternFill patternType="solid">
        <fgColor rgb="0013345C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3" borderId="1" pivotButton="0" quotePrefix="0" xfId="0"/>
    <xf numFmtId="164" fontId="5" fillId="3" borderId="1" applyAlignment="1" pivotButton="0" quotePrefix="0" xfId="0">
      <alignment horizontal="right"/>
    </xf>
    <xf numFmtId="0" fontId="6" fillId="4" borderId="1" pivotButton="0" quotePrefix="0" xfId="0"/>
    <xf numFmtId="0" fontId="0" fillId="4" borderId="1" pivotButton="0" quotePrefix="0" xfId="0"/>
    <xf numFmtId="164" fontId="5" fillId="4" borderId="1" applyAlignment="1" pivotButton="0" quotePrefix="0" xfId="0">
      <alignment horizontal="right"/>
    </xf>
    <xf numFmtId="0" fontId="7" fillId="0" borderId="1" pivotButton="0" quotePrefix="0" xfId="0"/>
    <xf numFmtId="0" fontId="0" fillId="0" borderId="1" pivotButton="0" quotePrefix="0" xfId="0"/>
    <xf numFmtId="3" fontId="8" fillId="0" borderId="1" applyAlignment="1" pivotButton="0" quotePrefix="0" xfId="0">
      <alignment horizontal="right"/>
    </xf>
    <xf numFmtId="0" fontId="9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0" fillId="6" borderId="1" applyAlignment="1" pivotButton="0" quotePrefix="0" xfId="0">
      <alignment horizontal="right"/>
    </xf>
    <xf numFmtId="0" fontId="0" fillId="7" borderId="1" pivotButton="0" quotePrefix="0" xfId="0"/>
    <xf numFmtId="164" fontId="0" fillId="7" borderId="1" applyAlignment="1" pivotButton="0" quotePrefix="0" xfId="0">
      <alignment horizontal="right"/>
    </xf>
    <xf numFmtId="0" fontId="8" fillId="3" borderId="1" pivotButton="0" quotePrefix="0" xfId="0"/>
    <xf numFmtId="164" fontId="8" fillId="3" borderId="1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6" fillId="0" borderId="0" pivotButton="0" quotePrefix="0" xfId="0"/>
    <xf numFmtId="167" fontId="0" fillId="6" borderId="1" pivotButton="0" quotePrefix="0" xfId="0"/>
    <xf numFmtId="168" fontId="0" fillId="6" borderId="1" pivotButton="0" quotePrefix="0" xfId="0"/>
    <xf numFmtId="164" fontId="0" fillId="6" borderId="1" pivotButton="0" quotePrefix="0" xfId="0"/>
    <xf numFmtId="167" fontId="0" fillId="7" borderId="1" pivotButton="0" quotePrefix="0" xfId="0"/>
    <xf numFmtId="168" fontId="0" fillId="7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categoría (valor sin IVA)</a:t>
            </a:r>
          </a:p>
        </rich>
      </tx>
    </title>
    <plotArea>
      <pieChart>
        <varyColors val="1"/>
        <ser>
          <idx val="0"/>
          <order val="0"/>
          <tx>
            <strRef>
              <f>'Por categoría'!C4</f>
            </strRef>
          </tx>
          <spPr>
            <a:ln>
              <a:prstDash val="solid"/>
            </a:ln>
          </spPr>
          <cat>
            <numRef>
              <f>'Por categoría'!$B$5:$B$15</f>
            </numRef>
          </cat>
          <val>
            <numRef>
              <f>'Por categoría'!$C$5:$C$15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proveedores (valor sin IVA)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proveedor'!C4</f>
            </strRef>
          </tx>
          <spPr>
            <a:ln>
              <a:prstDash val="solid"/>
            </a:ln>
          </spPr>
          <cat>
            <numRef>
              <f>'Por proveedor'!$B$5:$B$14</f>
            </numRef>
          </cat>
          <val>
            <numRef>
              <f>'Por proveedor'!$C$5:$C$14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4" customWidth="1" min="6" max="6"/>
  </cols>
  <sheetData>
    <row r="2">
      <c r="B2" s="1" t="inlineStr">
        <is>
          <t>EVOLTI  ·  INFORME DE COMPRAS</t>
        </is>
      </c>
    </row>
    <row r="3">
      <c r="B3" s="2" t="inlineStr">
        <is>
          <t>PROYECTO MULTICENTRO  —  TECHOS</t>
        </is>
      </c>
    </row>
    <row r="4">
      <c r="B4" s="3" t="inlineStr">
        <is>
          <t>Tipo de proyecto: Techo · Exportación de órdenes de compra</t>
        </is>
      </c>
    </row>
    <row r="5">
      <c r="B5" s="4" t="inlineStr">
        <is>
          <t>Periodo: 2025-07-28  a  2026-02-18    ·    Generado: 2026-09-21    ·    Moneda: COP</t>
        </is>
      </c>
    </row>
    <row r="7">
      <c r="B7" s="5" t="inlineStr">
        <is>
          <t>TOTALES DEL PROYECTO</t>
        </is>
      </c>
    </row>
    <row r="8">
      <c r="B8" s="6" t="inlineStr">
        <is>
          <t>VALOR TOTAL (sin IVA)</t>
        </is>
      </c>
      <c r="C8" s="7" t="n"/>
      <c r="D8" s="8" t="n">
        <v>111708410.69</v>
      </c>
    </row>
    <row r="9">
      <c r="B9" s="6" t="inlineStr">
        <is>
          <t>IVA</t>
        </is>
      </c>
      <c r="C9" s="7" t="n"/>
      <c r="D9" s="8" t="n">
        <v>14664073</v>
      </c>
    </row>
    <row r="10">
      <c r="B10" s="9" t="inlineStr">
        <is>
          <t>TOTAL CON IVA</t>
        </is>
      </c>
      <c r="C10" s="10" t="n"/>
      <c r="D10" s="11" t="n">
        <v>126372483.69</v>
      </c>
    </row>
    <row r="12">
      <c r="B12" s="5" t="inlineStr">
        <is>
          <t>INDICADORES</t>
        </is>
      </c>
    </row>
    <row r="13">
      <c r="B13" s="12" t="inlineStr">
        <is>
          <t>Órdenes de compra (No OC únicas)</t>
        </is>
      </c>
      <c r="C13" s="13" t="n"/>
      <c r="D13" s="14" t="n">
        <v>58</v>
      </c>
    </row>
    <row r="14">
      <c r="B14" s="12" t="inlineStr">
        <is>
          <t>Líneas de ítem / compras</t>
        </is>
      </c>
      <c r="C14" s="13" t="n"/>
      <c r="D14" s="14" t="n">
        <v>213</v>
      </c>
    </row>
    <row r="15">
      <c r="B15" s="12" t="inlineStr">
        <is>
          <t>Proveedores distintos</t>
        </is>
      </c>
      <c r="C15" s="13" t="n"/>
      <c r="D15" s="14" t="n">
        <v>24</v>
      </c>
    </row>
    <row r="16">
      <c r="B16" s="12" t="inlineStr">
        <is>
          <t>Categorías (Grupos)</t>
        </is>
      </c>
      <c r="C16" s="13" t="n"/>
      <c r="D16" s="14" t="n">
        <v>11</v>
      </c>
    </row>
    <row r="18">
      <c r="B18" s="5" t="inlineStr">
        <is>
          <t>GASTO DE OBRA vs ADMINISTRATIVO</t>
        </is>
      </c>
    </row>
    <row r="19">
      <c r="B19" s="15" t="inlineStr">
        <is>
          <t>Concepto</t>
        </is>
      </c>
      <c r="C19" s="15" t="inlineStr">
        <is>
          <t>Valor sin IVA</t>
        </is>
      </c>
      <c r="D19" s="15" t="inlineStr">
        <is>
          <t>IVA</t>
        </is>
      </c>
      <c r="E19" s="15" t="inlineStr">
        <is>
          <t>Total con IVA</t>
        </is>
      </c>
    </row>
    <row r="20">
      <c r="B20" s="16" t="inlineStr">
        <is>
          <t>Gasto de obra</t>
        </is>
      </c>
      <c r="C20" s="17" t="n">
        <v>111381410.69</v>
      </c>
      <c r="D20" s="17" t="n">
        <v>14601943</v>
      </c>
      <c r="E20" s="17" t="n">
        <v>125983353.69</v>
      </c>
    </row>
    <row r="21">
      <c r="B21" s="18" t="inlineStr">
        <is>
          <t>Gasto administrativo</t>
        </is>
      </c>
      <c r="C21" s="19" t="n">
        <v>327000</v>
      </c>
      <c r="D21" s="19" t="n">
        <v>62130</v>
      </c>
      <c r="E21" s="19" t="n">
        <v>389130</v>
      </c>
    </row>
    <row r="22">
      <c r="B22" s="20" t="inlineStr">
        <is>
          <t>TOTAL</t>
        </is>
      </c>
      <c r="C22" s="21" t="n">
        <v>111708410.69</v>
      </c>
      <c r="D22" s="21" t="n">
        <v>14664073</v>
      </c>
      <c r="E22" s="21" t="n">
        <v>126372483.69</v>
      </c>
    </row>
  </sheetData>
  <mergeCells count="4">
    <mergeCell ref="B5:E5"/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18" customWidth="1" min="4" max="4"/>
    <col width="20" customWidth="1" min="5" max="5"/>
    <col width="12" customWidth="1" min="6" max="6"/>
  </cols>
  <sheetData>
    <row r="2">
      <c r="B2" s="22" t="inlineStr">
        <is>
          <t>GASTO POR CATEGORÍA (GRUPO)</t>
        </is>
      </c>
    </row>
    <row r="4">
      <c r="B4" s="15" t="inlineStr">
        <is>
          <t>Categoría (Grupo)</t>
        </is>
      </c>
      <c r="C4" s="15" t="inlineStr">
        <is>
          <t>Valor sin IVA</t>
        </is>
      </c>
      <c r="D4" s="15" t="inlineStr">
        <is>
          <t>IVA</t>
        </is>
      </c>
      <c r="E4" s="15" t="inlineStr">
        <is>
          <t>Total con IVA</t>
        </is>
      </c>
      <c r="F4" s="15" t="inlineStr">
        <is>
          <t>% del total</t>
        </is>
      </c>
    </row>
    <row r="5">
      <c r="B5" s="16" t="inlineStr">
        <is>
          <t>Electricos</t>
        </is>
      </c>
      <c r="C5" s="17" t="n">
        <v>37606341.57000001</v>
      </c>
      <c r="D5" s="17" t="n">
        <v>7120475</v>
      </c>
      <c r="E5" s="17" t="n">
        <v>44726816.57000001</v>
      </c>
      <c r="F5" s="23" t="n">
        <v>0.3366473601917111</v>
      </c>
    </row>
    <row r="6">
      <c r="B6" s="18" t="inlineStr">
        <is>
          <t>Inversores Solares</t>
        </is>
      </c>
      <c r="C6" s="19" t="n">
        <v>19100000</v>
      </c>
      <c r="D6" s="19" t="n">
        <v>437000</v>
      </c>
      <c r="E6" s="19" t="n">
        <v>19537000</v>
      </c>
      <c r="F6" s="24" t="n">
        <v>0.1709808588451238</v>
      </c>
    </row>
    <row r="7">
      <c r="B7" s="16" t="inlineStr">
        <is>
          <t>Obra Civil</t>
        </is>
      </c>
      <c r="C7" s="17" t="n">
        <v>15852700</v>
      </c>
      <c r="D7" s="17" t="n">
        <v>2866093</v>
      </c>
      <c r="E7" s="17" t="n">
        <v>18718793</v>
      </c>
      <c r="F7" s="23" t="n">
        <v>0.1419114272782248</v>
      </c>
    </row>
    <row r="8">
      <c r="B8" s="18" t="inlineStr">
        <is>
          <t>Estructura Solar</t>
        </is>
      </c>
      <c r="C8" s="19" t="n">
        <v>11144655.12</v>
      </c>
      <c r="D8" s="19" t="n">
        <v>2117484</v>
      </c>
      <c r="E8" s="19" t="n">
        <v>13262139.12</v>
      </c>
      <c r="F8" s="24" t="n">
        <v>0.09976558659425684</v>
      </c>
    </row>
    <row r="9">
      <c r="B9" s="16" t="inlineStr">
        <is>
          <t>Servicios: viáticos</t>
        </is>
      </c>
      <c r="C9" s="17" t="n">
        <v>10346426</v>
      </c>
      <c r="D9" s="17" t="n">
        <v>1128600</v>
      </c>
      <c r="E9" s="17" t="n">
        <v>11475026</v>
      </c>
      <c r="F9" s="23" t="n">
        <v>0.09261993735379678</v>
      </c>
    </row>
    <row r="10">
      <c r="B10" s="18" t="inlineStr">
        <is>
          <t>Equipos</t>
        </is>
      </c>
      <c r="C10" s="19" t="n">
        <v>4953413</v>
      </c>
      <c r="D10" s="19" t="n">
        <v>95798</v>
      </c>
      <c r="E10" s="19" t="n">
        <v>5049211</v>
      </c>
      <c r="F10" s="24" t="n">
        <v>0.0443423460185655</v>
      </c>
    </row>
    <row r="11">
      <c r="B11" s="16" t="inlineStr">
        <is>
          <t>Servicios: Legalización</t>
        </is>
      </c>
      <c r="C11" s="17" t="n">
        <v>4553255</v>
      </c>
      <c r="D11" s="17" t="n">
        <v>0</v>
      </c>
      <c r="E11" s="17" t="n">
        <v>4553255</v>
      </c>
      <c r="F11" s="23" t="n">
        <v>0.04076018065135362</v>
      </c>
    </row>
    <row r="12">
      <c r="B12" s="18" t="inlineStr">
        <is>
          <t>Servicios: Subcontratos</t>
        </is>
      </c>
      <c r="C12" s="19" t="n">
        <v>4164800</v>
      </c>
      <c r="D12" s="19" t="n">
        <v>553812</v>
      </c>
      <c r="E12" s="19" t="n">
        <v>4718612</v>
      </c>
      <c r="F12" s="24" t="n">
        <v>0.03728277910566343</v>
      </c>
    </row>
    <row r="13">
      <c r="B13" s="16" t="inlineStr">
        <is>
          <t>Servicio</t>
        </is>
      </c>
      <c r="C13" s="17" t="n">
        <v>2271786</v>
      </c>
      <c r="D13" s="17" t="n">
        <v>275614</v>
      </c>
      <c r="E13" s="17" t="n">
        <v>2547400</v>
      </c>
      <c r="F13" s="23" t="n">
        <v>0.02033674981111667</v>
      </c>
    </row>
    <row r="14">
      <c r="B14" s="18" t="inlineStr">
        <is>
          <t>Servicios: Fletes</t>
        </is>
      </c>
      <c r="C14" s="19" t="n">
        <v>1388034</v>
      </c>
      <c r="D14" s="19" t="n">
        <v>7067</v>
      </c>
      <c r="E14" s="19" t="n">
        <v>1395101</v>
      </c>
      <c r="F14" s="24" t="n">
        <v>0.01242551023173992</v>
      </c>
    </row>
    <row r="15">
      <c r="B15" s="16" t="inlineStr">
        <is>
          <t>Epp</t>
        </is>
      </c>
      <c r="C15" s="17" t="n">
        <v>327000</v>
      </c>
      <c r="D15" s="17" t="n">
        <v>62130</v>
      </c>
      <c r="E15" s="17" t="n">
        <v>389130</v>
      </c>
      <c r="F15" s="23" t="n">
        <v>0.00292726391844793</v>
      </c>
    </row>
    <row r="16">
      <c r="B16" s="20" t="inlineStr">
        <is>
          <t>TOTAL</t>
        </is>
      </c>
      <c r="C16" s="21" t="n">
        <v>111708410.69</v>
      </c>
      <c r="D16" s="21" t="n">
        <v>14664073</v>
      </c>
      <c r="E16" s="21" t="n">
        <v>126372483.69</v>
      </c>
      <c r="F16" s="25" t="n">
        <v>1</v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0" customWidth="1" min="3" max="3"/>
    <col width="18" customWidth="1" min="4" max="4"/>
    <col width="20" customWidth="1" min="5" max="5"/>
    <col width="12" customWidth="1" min="6" max="6"/>
  </cols>
  <sheetData>
    <row r="2">
      <c r="B2" s="22" t="inlineStr">
        <is>
          <t>GASTO POR PROVEEDOR</t>
        </is>
      </c>
    </row>
    <row r="4">
      <c r="B4" s="15" t="inlineStr">
        <is>
          <t>Proveedor</t>
        </is>
      </c>
      <c r="C4" s="15" t="inlineStr">
        <is>
          <t>Valor sin IVA</t>
        </is>
      </c>
      <c r="D4" s="15" t="inlineStr">
        <is>
          <t>IVA</t>
        </is>
      </c>
      <c r="E4" s="15" t="inlineStr">
        <is>
          <t>Total con IVA</t>
        </is>
      </c>
      <c r="F4" s="15" t="inlineStr">
        <is>
          <t>% del total</t>
        </is>
      </c>
    </row>
    <row r="5">
      <c r="B5" s="16" t="inlineStr">
        <is>
          <t>ELECTRICOS DEL VALLE SAS</t>
        </is>
      </c>
      <c r="C5" s="17" t="n">
        <v>27711446.57000001</v>
      </c>
      <c r="D5" s="17" t="n">
        <v>5265144</v>
      </c>
      <c r="E5" s="17" t="n">
        <v>32976590.57000001</v>
      </c>
      <c r="F5" s="23" t="n">
        <v>0.248069473004155</v>
      </c>
    </row>
    <row r="6">
      <c r="B6" s="18" t="inlineStr">
        <is>
          <t>GRUPO SOLAIRE SAS</t>
        </is>
      </c>
      <c r="C6" s="19" t="n">
        <v>19100000</v>
      </c>
      <c r="D6" s="19" t="n">
        <v>437000</v>
      </c>
      <c r="E6" s="19" t="n">
        <v>19537000</v>
      </c>
      <c r="F6" s="24" t="n">
        <v>0.1709808588451238</v>
      </c>
    </row>
    <row r="7">
      <c r="B7" s="16" t="inlineStr">
        <is>
          <t>ENERGIA Y MOVILIDAD SAS</t>
        </is>
      </c>
      <c r="C7" s="17" t="n">
        <v>18616395.12</v>
      </c>
      <c r="D7" s="17" t="n">
        <v>3537115</v>
      </c>
      <c r="E7" s="17" t="n">
        <v>22153510.12</v>
      </c>
      <c r="F7" s="23" t="n">
        <v>0.1666516872365325</v>
      </c>
    </row>
    <row r="8">
      <c r="B8" s="18" t="inlineStr">
        <is>
          <t>FERREPLASTICOS CALI S.A.S</t>
        </is>
      </c>
      <c r="C8" s="19" t="n">
        <v>14939300</v>
      </c>
      <c r="D8" s="19" t="n">
        <v>2825547</v>
      </c>
      <c r="E8" s="19" t="n">
        <v>17764847</v>
      </c>
      <c r="F8" s="24" t="n">
        <v>0.1337347824369088</v>
      </c>
    </row>
    <row r="9">
      <c r="B9" s="16" t="inlineStr">
        <is>
          <t>TEXWORKS S.A.S.</t>
        </is>
      </c>
      <c r="C9" s="17" t="n">
        <v>6240000</v>
      </c>
      <c r="D9" s="17" t="n">
        <v>1128600</v>
      </c>
      <c r="E9" s="17" t="n">
        <v>7368600</v>
      </c>
      <c r="F9" s="23" t="n">
        <v>0.05585971514102473</v>
      </c>
    </row>
    <row r="10">
      <c r="B10" s="18" t="inlineStr">
        <is>
          <t>TABLEROS ELECTRICOS S.A. TABLESA</t>
        </is>
      </c>
      <c r="C10" s="19" t="n">
        <v>4917961</v>
      </c>
      <c r="D10" s="19" t="n">
        <v>89063</v>
      </c>
      <c r="E10" s="19" t="n">
        <v>5007024</v>
      </c>
      <c r="F10" s="24" t="n">
        <v>0.04402498406004313</v>
      </c>
    </row>
    <row r="11">
      <c r="B11" s="16" t="inlineStr">
        <is>
          <t>CALIDAD DE ENERGIA SAS</t>
        </is>
      </c>
      <c r="C11" s="17" t="n">
        <v>3600000</v>
      </c>
      <c r="D11" s="17" t="n">
        <v>0</v>
      </c>
      <c r="E11" s="17" t="n">
        <v>3600000</v>
      </c>
      <c r="F11" s="23" t="n">
        <v>0.03222675873520658</v>
      </c>
    </row>
    <row r="12">
      <c r="B12" s="18" t="inlineStr">
        <is>
          <t>CENTRALQUIPOS S.A.S. BIC</t>
        </is>
      </c>
      <c r="C12" s="19" t="n">
        <v>2482300</v>
      </c>
      <c r="D12" s="19" t="n">
        <v>471637</v>
      </c>
      <c r="E12" s="19" t="n">
        <v>2953937</v>
      </c>
      <c r="F12" s="24" t="n">
        <v>0.02222124533566758</v>
      </c>
    </row>
    <row r="13">
      <c r="B13" s="16" t="inlineStr">
        <is>
          <t>CLARA INES GOMEZ GONZALEZ</t>
        </is>
      </c>
      <c r="C13" s="17" t="n">
        <v>2290156</v>
      </c>
      <c r="D13" s="17" t="n">
        <v>0</v>
      </c>
      <c r="E13" s="17" t="n">
        <v>2290156</v>
      </c>
      <c r="F13" s="23" t="n">
        <v>0.02050119579944049</v>
      </c>
    </row>
    <row r="14">
      <c r="B14" s="18" t="inlineStr">
        <is>
          <t>SKALER S.A.S.</t>
        </is>
      </c>
      <c r="C14" s="19" t="n">
        <v>2040000</v>
      </c>
      <c r="D14" s="19" t="n">
        <v>387600</v>
      </c>
      <c r="E14" s="19" t="n">
        <v>2427600</v>
      </c>
      <c r="F14" s="24" t="n">
        <v>0.01826182994995039</v>
      </c>
    </row>
    <row r="15">
      <c r="B15" s="16" t="inlineStr">
        <is>
          <t>RAUL BARBENLEY CASTRO RIVERA</t>
        </is>
      </c>
      <c r="C15" s="17" t="n">
        <v>1932000</v>
      </c>
      <c r="D15" s="17" t="n">
        <v>0</v>
      </c>
      <c r="E15" s="17" t="n">
        <v>1932000</v>
      </c>
      <c r="F15" s="23" t="n">
        <v>0.01729502718789419</v>
      </c>
    </row>
    <row r="16">
      <c r="B16" s="18" t="inlineStr">
        <is>
          <t>ENERIETH  MONTENEGRO BOLAÑOS</t>
        </is>
      </c>
      <c r="C16" s="19" t="n">
        <v>1036270</v>
      </c>
      <c r="D16" s="19" t="n">
        <v>0</v>
      </c>
      <c r="E16" s="19" t="n">
        <v>1036270</v>
      </c>
      <c r="F16" s="24" t="n">
        <v>0.009276562020703477</v>
      </c>
    </row>
    <row r="17">
      <c r="B17" s="16" t="inlineStr">
        <is>
          <t>EMPRESAS MUNICIPALES DE CALI E.I.C.E. E.S.P</t>
        </is>
      </c>
      <c r="C17" s="17" t="n">
        <v>953255</v>
      </c>
      <c r="D17" s="17" t="n">
        <v>0</v>
      </c>
      <c r="E17" s="17" t="n">
        <v>953255</v>
      </c>
      <c r="F17" s="23" t="n">
        <v>0.00853342191614704</v>
      </c>
    </row>
    <row r="18">
      <c r="B18" s="18" t="inlineStr">
        <is>
          <t>NEXORA SERVICIOS SAS</t>
        </is>
      </c>
      <c r="C18" s="19" t="n">
        <v>910000</v>
      </c>
      <c r="D18" s="19" t="n">
        <v>0</v>
      </c>
      <c r="E18" s="19" t="n">
        <v>910000</v>
      </c>
      <c r="F18" s="24" t="n">
        <v>0.008146208458066106</v>
      </c>
    </row>
    <row r="19">
      <c r="B19" s="16" t="inlineStr">
        <is>
          <t>UNIDAD DE PLANEACION MINERO ENERGETICA (UPME)</t>
        </is>
      </c>
      <c r="C19" s="17" t="n">
        <v>821186</v>
      </c>
      <c r="D19" s="17" t="n">
        <v>0</v>
      </c>
      <c r="E19" s="17" t="n">
        <v>821186</v>
      </c>
      <c r="F19" s="23" t="n">
        <v>0.007351156416313708</v>
      </c>
    </row>
    <row r="20">
      <c r="B20" s="18" t="inlineStr">
        <is>
          <t>POTENCIA Y TECNOLOGIA  S.A.S</t>
        </is>
      </c>
      <c r="C20" s="19" t="n">
        <v>704100</v>
      </c>
      <c r="D20" s="19" t="n">
        <v>133779</v>
      </c>
      <c r="E20" s="19" t="n">
        <v>837879</v>
      </c>
      <c r="F20" s="24" t="n">
        <v>0.006303016895960819</v>
      </c>
    </row>
    <row r="21">
      <c r="B21" s="16" t="inlineStr">
        <is>
          <t>MILTON FABIAN BRAVO ARGOTE</t>
        </is>
      </c>
      <c r="C21" s="17" t="n">
        <v>700000</v>
      </c>
      <c r="D21" s="17" t="n">
        <v>0</v>
      </c>
      <c r="E21" s="17" t="n">
        <v>700000</v>
      </c>
      <c r="F21" s="23" t="n">
        <v>0.00626631419851239</v>
      </c>
    </row>
    <row r="22">
      <c r="B22" s="18" t="inlineStr">
        <is>
          <t>VAIRON ALEJANDRO URBANO ORTEGA</t>
        </is>
      </c>
      <c r="C22" s="19" t="n">
        <v>668841</v>
      </c>
      <c r="D22" s="19" t="n">
        <v>0</v>
      </c>
      <c r="E22" s="19" t="n">
        <v>668841</v>
      </c>
      <c r="F22" s="24" t="n">
        <v>0.00598738264978175</v>
      </c>
    </row>
    <row r="23">
      <c r="B23" s="16" t="inlineStr">
        <is>
          <t>INDUSTRIAS REBRA SAS</t>
        </is>
      </c>
      <c r="C23" s="17" t="n">
        <v>618498</v>
      </c>
      <c r="D23" s="17" t="n">
        <v>117515</v>
      </c>
      <c r="E23" s="17" t="n">
        <v>736013</v>
      </c>
      <c r="F23" s="23" t="n">
        <v>0.005536718284502165</v>
      </c>
    </row>
    <row r="24">
      <c r="B24" s="18" t="inlineStr">
        <is>
          <t>DIEGO ALEXANDER SANDOVAL GUZMAN</t>
        </is>
      </c>
      <c r="C24" s="19" t="n">
        <v>539000</v>
      </c>
      <c r="D24" s="19" t="n">
        <v>102410</v>
      </c>
      <c r="E24" s="19" t="n">
        <v>641410</v>
      </c>
      <c r="F24" s="24" t="n">
        <v>0.00482506193285454</v>
      </c>
    </row>
    <row r="25">
      <c r="B25" s="16" t="inlineStr">
        <is>
          <t>NESTOR ALBERTO RODRIGUEZ MARTINEZ (FENIX TEC)</t>
        </is>
      </c>
      <c r="C25" s="17" t="n">
        <v>504202</v>
      </c>
      <c r="D25" s="17" t="n">
        <v>95798</v>
      </c>
      <c r="E25" s="17" t="n">
        <v>600000</v>
      </c>
      <c r="F25" s="23" t="n">
        <v>0.004513554502169063</v>
      </c>
    </row>
    <row r="26">
      <c r="B26" s="18" t="inlineStr">
        <is>
          <t>DISTRITO E SAS</t>
        </is>
      </c>
      <c r="C26" s="19" t="n">
        <v>171600</v>
      </c>
      <c r="D26" s="19" t="n">
        <v>32604</v>
      </c>
      <c r="E26" s="19" t="n">
        <v>204204</v>
      </c>
      <c r="F26" s="24" t="n">
        <v>0.00153614216637818</v>
      </c>
    </row>
    <row r="27">
      <c r="B27" s="16" t="inlineStr">
        <is>
          <t>FERRESOL S.A.S</t>
        </is>
      </c>
      <c r="C27" s="17" t="n">
        <v>155400</v>
      </c>
      <c r="D27" s="17" t="n">
        <v>29526</v>
      </c>
      <c r="E27" s="17" t="n">
        <v>184926</v>
      </c>
      <c r="F27" s="23" t="n">
        <v>0.00139112175206975</v>
      </c>
    </row>
    <row r="28">
      <c r="B28" s="18" t="inlineStr">
        <is>
          <t>DISTRIBUIDOR FERRETERO FERROGANGAS S.A.S.</t>
        </is>
      </c>
      <c r="C28" s="19" t="n">
        <v>56500</v>
      </c>
      <c r="D28" s="19" t="n">
        <v>10735</v>
      </c>
      <c r="E28" s="19" t="n">
        <v>67235</v>
      </c>
      <c r="F28" s="24" t="n">
        <v>0.0005057810745942143</v>
      </c>
    </row>
    <row r="29">
      <c r="B29" s="20" t="inlineStr">
        <is>
          <t>TOTAL</t>
        </is>
      </c>
      <c r="C29" s="21" t="n">
        <v>111708410.69</v>
      </c>
      <c r="D29" s="21" t="n">
        <v>14664073</v>
      </c>
      <c r="E29" s="21" t="n">
        <v>126372483.69</v>
      </c>
      <c r="F29" s="25" t="n">
        <v>1</v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6" customWidth="1" min="4" max="4"/>
    <col width="30" customWidth="1" min="5" max="5"/>
    <col width="22" customWidth="1" min="6" max="6"/>
  </cols>
  <sheetData>
    <row r="2">
      <c r="B2" s="22" t="inlineStr">
        <is>
          <t>COMPRAS POR ESTADO Y LEGALIZACIÓN</t>
        </is>
      </c>
    </row>
    <row r="4">
      <c r="B4" s="26" t="inlineStr">
        <is>
          <t>Por estado de la orden</t>
        </is>
      </c>
      <c r="E4" s="26" t="inlineStr">
        <is>
          <t>Por estado de legalización</t>
        </is>
      </c>
    </row>
    <row r="5">
      <c r="B5" s="15" t="inlineStr">
        <is>
          <t>Concepto</t>
        </is>
      </c>
      <c r="C5" s="15" t="inlineStr">
        <is>
          <t>Valor sin IVA</t>
        </is>
      </c>
      <c r="E5" s="15" t="inlineStr">
        <is>
          <t>Concepto</t>
        </is>
      </c>
      <c r="F5" s="15" t="inlineStr">
        <is>
          <t>Valor sin IVA</t>
        </is>
      </c>
    </row>
    <row r="6">
      <c r="B6" s="16" t="inlineStr">
        <is>
          <t>CERRADA</t>
        </is>
      </c>
      <c r="C6" s="17" t="n">
        <v>111708410.69</v>
      </c>
      <c r="E6" s="16" t="inlineStr">
        <is>
          <t>PAGADA</t>
        </is>
      </c>
      <c r="F6" s="17" t="n">
        <v>94223453.83</v>
      </c>
    </row>
    <row r="7">
      <c r="B7" s="20" t="inlineStr">
        <is>
          <t>TOTAL</t>
        </is>
      </c>
      <c r="C7" s="21" t="n">
        <v>111708410.69</v>
      </c>
      <c r="E7" s="18" t="inlineStr">
        <is>
          <t>CAUSADA</t>
        </is>
      </c>
      <c r="F7" s="19" t="n">
        <v>17484956.86</v>
      </c>
    </row>
    <row r="8">
      <c r="E8" s="20" t="inlineStr">
        <is>
          <t>TOTAL</t>
        </is>
      </c>
      <c r="F8" s="21" t="n">
        <v>111708410.69</v>
      </c>
    </row>
    <row r="11">
      <c r="B11" s="26" t="inlineStr">
        <is>
          <t>Por tipo de solicitud</t>
        </is>
      </c>
    </row>
    <row r="12">
      <c r="B12" s="15" t="inlineStr">
        <is>
          <t>Concepto</t>
        </is>
      </c>
      <c r="C12" s="15" t="inlineStr">
        <is>
          <t>Valor sin IVA</t>
        </is>
      </c>
    </row>
    <row r="13">
      <c r="B13" s="16" t="inlineStr">
        <is>
          <t>PLANEADA</t>
        </is>
      </c>
      <c r="C13" s="17" t="n">
        <v>94806859.01999998</v>
      </c>
    </row>
    <row r="14">
      <c r="B14" s="18" t="inlineStr">
        <is>
          <t>EMERGENCIA</t>
        </is>
      </c>
      <c r="C14" s="19" t="n">
        <v>15580200</v>
      </c>
    </row>
    <row r="15">
      <c r="B15" s="16" t="inlineStr">
        <is>
          <t>URGENCIA</t>
        </is>
      </c>
      <c r="C15" s="17" t="n">
        <v>1321351.67</v>
      </c>
    </row>
    <row r="16">
      <c r="B16" s="20" t="inlineStr">
        <is>
          <t>TOTAL</t>
        </is>
      </c>
      <c r="C16" s="21" t="n">
        <v>111708410.69</v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2" customWidth="1" min="5" max="5"/>
    <col width="20" customWidth="1" min="6" max="6"/>
    <col width="18" customWidth="1" min="7" max="7"/>
    <col width="42" customWidth="1" min="8" max="8"/>
    <col width="7" customWidth="1" min="9" max="9"/>
    <col width="15" customWidth="1" min="10" max="10"/>
    <col width="16" customWidth="1" min="11" max="11"/>
    <col width="12" customWidth="1" min="12" max="12"/>
    <col width="14" customWidth="1" min="13" max="13"/>
    <col width="16" customWidth="1" min="14" max="14"/>
    <col width="22" customWidth="1" min="15" max="15"/>
    <col width="30" customWidth="1" min="16" max="16"/>
    <col width="13" customWidth="1" min="17" max="17"/>
    <col width="14" customWidth="1" min="18" max="18"/>
    <col width="16" customWidth="1" min="19" max="19"/>
  </cols>
  <sheetData>
    <row r="1">
      <c r="A1" s="15" t="inlineStr">
        <is>
          <t>Fecha</t>
        </is>
      </c>
      <c r="B1" s="15" t="inlineStr">
        <is>
          <t>No OC</t>
        </is>
      </c>
      <c r="C1" s="15" t="inlineStr">
        <is>
          <t>No pedido</t>
        </is>
      </c>
      <c r="D1" s="15" t="inlineStr">
        <is>
          <t>Estado</t>
        </is>
      </c>
      <c r="E1" s="15" t="inlineStr">
        <is>
          <t>Legalización</t>
        </is>
      </c>
      <c r="F1" s="15" t="inlineStr">
        <is>
          <t>Grupo</t>
        </is>
      </c>
      <c r="G1" s="15" t="inlineStr">
        <is>
          <t>Sub grupo</t>
        </is>
      </c>
      <c r="H1" s="15" t="inlineStr">
        <is>
          <t>Producto / servicio</t>
        </is>
      </c>
      <c r="I1" s="15" t="inlineStr">
        <is>
          <t>Cant.</t>
        </is>
      </c>
      <c r="J1" s="15" t="inlineStr">
        <is>
          <t>Precio unit.</t>
        </is>
      </c>
      <c r="K1" s="15" t="inlineStr">
        <is>
          <t>Valor sin IVA</t>
        </is>
      </c>
      <c r="L1" s="15" t="inlineStr">
        <is>
          <t>Tipo impuesto</t>
        </is>
      </c>
      <c r="M1" s="15" t="inlineStr">
        <is>
          <t>IVA</t>
        </is>
      </c>
      <c r="N1" s="15" t="inlineStr">
        <is>
          <t>Total con IVA</t>
        </is>
      </c>
      <c r="O1" s="15" t="inlineStr">
        <is>
          <t>Solicitó</t>
        </is>
      </c>
      <c r="P1" s="15" t="inlineStr">
        <is>
          <t>Proveedor</t>
        </is>
      </c>
      <c r="Q1" s="15" t="inlineStr">
        <is>
          <t>Tipo solicitud</t>
        </is>
      </c>
      <c r="R1" s="15" t="inlineStr">
        <is>
          <t>Tipo proyecto</t>
        </is>
      </c>
      <c r="S1" s="15" t="inlineStr">
        <is>
          <t>No factura</t>
        </is>
      </c>
    </row>
    <row r="2">
      <c r="A2" s="27" t="n">
        <v>46071.79748842592</v>
      </c>
      <c r="B2" s="16" t="n">
        <v>1985</v>
      </c>
      <c r="C2" s="16" t="n">
        <v>1546</v>
      </c>
      <c r="D2" s="16" t="inlineStr">
        <is>
          <t>CERRADA</t>
        </is>
      </c>
      <c r="E2" s="16" t="inlineStr">
        <is>
          <t>PAGADA</t>
        </is>
      </c>
      <c r="F2" s="16" t="inlineStr">
        <is>
          <t>Servicios: Legalización</t>
        </is>
      </c>
      <c r="G2" s="16" t="inlineStr"/>
      <c r="H2" s="16" t="inlineStr">
        <is>
          <t>CALIBRACIÓN 4 CUADRANTES MEDIDOR - UND</t>
        </is>
      </c>
      <c r="I2" s="28" t="n">
        <v>1</v>
      </c>
      <c r="J2" s="29" t="n">
        <v>953255</v>
      </c>
      <c r="K2" s="29" t="n">
        <v>953255</v>
      </c>
      <c r="L2" s="16" t="inlineStr"/>
      <c r="M2" s="29" t="n">
        <v>0</v>
      </c>
      <c r="N2" s="29" t="n">
        <v>953255</v>
      </c>
      <c r="O2" s="16" t="inlineStr">
        <is>
          <t>JULIO CESAR DEAVILA MARTINEZ</t>
        </is>
      </c>
      <c r="P2" s="16" t="inlineStr">
        <is>
          <t>EMPRESAS MUNICIPALES DE CALI E.I.C.E. E.S.P</t>
        </is>
      </c>
      <c r="Q2" s="16" t="inlineStr">
        <is>
          <t>EMERGENCIA</t>
        </is>
      </c>
      <c r="R2" s="16" t="inlineStr">
        <is>
          <t>TECHO</t>
        </is>
      </c>
      <c r="S2" s="16" t="inlineStr">
        <is>
          <t>1012303</t>
        </is>
      </c>
    </row>
    <row r="3">
      <c r="A3" s="30" t="n">
        <v>46048.35266203704</v>
      </c>
      <c r="B3" s="18" t="n">
        <v>1724</v>
      </c>
      <c r="C3" s="18" t="n">
        <v>1334</v>
      </c>
      <c r="D3" s="18" t="inlineStr">
        <is>
          <t>CERRADA</t>
        </is>
      </c>
      <c r="E3" s="18" t="inlineStr">
        <is>
          <t>PAGADA</t>
        </is>
      </c>
      <c r="F3" s="18" t="inlineStr">
        <is>
          <t>Servicios: Subcontratos</t>
        </is>
      </c>
      <c r="G3" s="18" t="inlineStr"/>
      <c r="H3" s="18" t="inlineStr">
        <is>
          <t>ARRIENDO INMUEBLE - UND</t>
        </is>
      </c>
      <c r="I3" s="31" t="n">
        <v>1</v>
      </c>
      <c r="J3" s="32" t="n">
        <v>700000</v>
      </c>
      <c r="K3" s="32" t="n">
        <v>700000</v>
      </c>
      <c r="L3" s="18" t="inlineStr"/>
      <c r="M3" s="32" t="n">
        <v>0</v>
      </c>
      <c r="N3" s="32" t="n">
        <v>700000</v>
      </c>
      <c r="O3" s="18" t="inlineStr">
        <is>
          <t>JULIO CESAR DEAVILA MARTINEZ</t>
        </is>
      </c>
      <c r="P3" s="18" t="inlineStr">
        <is>
          <t>RAUL BARBENLEY CASTRO RIVERA</t>
        </is>
      </c>
      <c r="Q3" s="18" t="inlineStr">
        <is>
          <t>EMERGENCIA</t>
        </is>
      </c>
      <c r="R3" s="18" t="inlineStr">
        <is>
          <t>TECHO</t>
        </is>
      </c>
      <c r="S3" s="18" t="inlineStr">
        <is>
          <t>CUENTA DE COBRO</t>
        </is>
      </c>
    </row>
    <row r="4">
      <c r="A4" s="27" t="n">
        <v>46013.35991898148</v>
      </c>
      <c r="B4" s="16" t="n">
        <v>1536</v>
      </c>
      <c r="C4" s="16" t="n">
        <v>1182</v>
      </c>
      <c r="D4" s="16" t="inlineStr">
        <is>
          <t>CERRADA</t>
        </is>
      </c>
      <c r="E4" s="16" t="inlineStr">
        <is>
          <t>PAGADA</t>
        </is>
      </c>
      <c r="F4" s="16" t="inlineStr">
        <is>
          <t>Servicios: viáticos</t>
        </is>
      </c>
      <c r="G4" s="16" t="inlineStr"/>
      <c r="H4" s="16" t="inlineStr">
        <is>
          <t>SERVICIO DE HOTEL - UND</t>
        </is>
      </c>
      <c r="I4" s="28" t="n">
        <v>1</v>
      </c>
      <c r="J4" s="29" t="n">
        <v>373057</v>
      </c>
      <c r="K4" s="29" t="n">
        <v>373057</v>
      </c>
      <c r="L4" s="16" t="inlineStr"/>
      <c r="M4" s="29" t="n">
        <v>0</v>
      </c>
      <c r="N4" s="29" t="n">
        <v>373057</v>
      </c>
      <c r="O4" s="16" t="inlineStr">
        <is>
          <t>JULIO CESAR DEAVILA MARTINEZ</t>
        </is>
      </c>
      <c r="P4" s="16" t="inlineStr">
        <is>
          <t>CLARA INES GOMEZ GONZALEZ</t>
        </is>
      </c>
      <c r="Q4" s="16" t="inlineStr">
        <is>
          <t>EMERGENCIA</t>
        </is>
      </c>
      <c r="R4" s="16" t="inlineStr">
        <is>
          <t>TECHO</t>
        </is>
      </c>
      <c r="S4" s="16" t="inlineStr">
        <is>
          <t>CUENTA DE COBRO 3</t>
        </is>
      </c>
    </row>
    <row r="5">
      <c r="A5" s="30" t="n">
        <v>46013.35832175926</v>
      </c>
      <c r="B5" s="18" t="n">
        <v>1534</v>
      </c>
      <c r="C5" s="18" t="n">
        <v>1178</v>
      </c>
      <c r="D5" s="18" t="inlineStr">
        <is>
          <t>CERRADA</t>
        </is>
      </c>
      <c r="E5" s="18" t="inlineStr">
        <is>
          <t>PAGADA</t>
        </is>
      </c>
      <c r="F5" s="18" t="inlineStr">
        <is>
          <t>Servicios: viáticos</t>
        </is>
      </c>
      <c r="G5" s="18" t="inlineStr"/>
      <c r="H5" s="18" t="inlineStr">
        <is>
          <t>SERVICIO DE HOTEL - UND</t>
        </is>
      </c>
      <c r="I5" s="31" t="n">
        <v>8</v>
      </c>
      <c r="J5" s="32" t="n">
        <v>60000</v>
      </c>
      <c r="K5" s="32" t="n">
        <v>480000</v>
      </c>
      <c r="L5" s="18" t="inlineStr">
        <is>
          <t>IVA 19%</t>
        </is>
      </c>
      <c r="M5" s="32" t="n">
        <v>91200</v>
      </c>
      <c r="N5" s="32" t="n">
        <v>571200</v>
      </c>
      <c r="O5" s="18" t="inlineStr">
        <is>
          <t>JULIO CESAR DEAVILA MARTINEZ</t>
        </is>
      </c>
      <c r="P5" s="18" t="inlineStr">
        <is>
          <t>TEXWORKS S.A.S.</t>
        </is>
      </c>
      <c r="Q5" s="18" t="inlineStr">
        <is>
          <t>EMERGENCIA</t>
        </is>
      </c>
      <c r="R5" s="18" t="inlineStr">
        <is>
          <t>TECHO</t>
        </is>
      </c>
      <c r="S5" s="18" t="inlineStr">
        <is>
          <t>COT TEXWORK</t>
        </is>
      </c>
    </row>
    <row r="6">
      <c r="A6" s="27" t="n">
        <v>46007.66736111111</v>
      </c>
      <c r="B6" s="16" t="n">
        <v>1469</v>
      </c>
      <c r="C6" s="16" t="n">
        <v>1120</v>
      </c>
      <c r="D6" s="16" t="inlineStr">
        <is>
          <t>CERRADA</t>
        </is>
      </c>
      <c r="E6" s="16" t="inlineStr">
        <is>
          <t>PAGADA</t>
        </is>
      </c>
      <c r="F6" s="16" t="inlineStr">
        <is>
          <t>Electricos</t>
        </is>
      </c>
      <c r="G6" s="16" t="inlineStr"/>
      <c r="H6" s="16" t="inlineStr">
        <is>
          <t>SERVICIO DE COMEDOR / RESTAURANTE - UND</t>
        </is>
      </c>
      <c r="I6" s="28" t="n">
        <v>1</v>
      </c>
      <c r="J6" s="29" t="n">
        <v>130000</v>
      </c>
      <c r="K6" s="29" t="n">
        <v>130000</v>
      </c>
      <c r="L6" s="16" t="inlineStr"/>
      <c r="M6" s="29" t="n">
        <v>0</v>
      </c>
      <c r="N6" s="29" t="n">
        <v>130000</v>
      </c>
      <c r="O6" s="16" t="inlineStr">
        <is>
          <t>JULIO CESAR DEAVILA MARTINEZ</t>
        </is>
      </c>
      <c r="P6" s="16" t="inlineStr">
        <is>
          <t>NEXORA SERVICIOS SAS</t>
        </is>
      </c>
      <c r="Q6" s="16" t="inlineStr">
        <is>
          <t>EMERGENCIA</t>
        </is>
      </c>
      <c r="R6" s="16" t="inlineStr">
        <is>
          <t>TECHO</t>
        </is>
      </c>
      <c r="S6" s="16" t="inlineStr">
        <is>
          <t>CUENTA DE COBRO 7 - FE46</t>
        </is>
      </c>
    </row>
    <row r="7">
      <c r="A7" s="30" t="n">
        <v>46006.60188657408</v>
      </c>
      <c r="B7" s="18" t="n">
        <v>1455</v>
      </c>
      <c r="C7" s="18" t="n">
        <v>1116</v>
      </c>
      <c r="D7" s="18" t="inlineStr">
        <is>
          <t>CERRADA</t>
        </is>
      </c>
      <c r="E7" s="18" t="inlineStr">
        <is>
          <t>PAGADA</t>
        </is>
      </c>
      <c r="F7" s="18" t="inlineStr">
        <is>
          <t>Servicios: Fletes</t>
        </is>
      </c>
      <c r="G7" s="18" t="inlineStr"/>
      <c r="H7" s="18" t="inlineStr">
        <is>
          <t>FLETE - UND</t>
        </is>
      </c>
      <c r="I7" s="31" t="n">
        <v>1</v>
      </c>
      <c r="J7" s="32" t="n">
        <v>141415</v>
      </c>
      <c r="K7" s="32" t="n">
        <v>141415</v>
      </c>
      <c r="L7" s="18" t="inlineStr"/>
      <c r="M7" s="32" t="n">
        <v>0</v>
      </c>
      <c r="N7" s="32" t="n">
        <v>141415</v>
      </c>
      <c r="O7" s="18" t="inlineStr">
        <is>
          <t>JULIO CESAR DEAVILA MARTINEZ</t>
        </is>
      </c>
      <c r="P7" s="18" t="inlineStr">
        <is>
          <t>VAIRON ALEJANDRO URBANO ORTEGA</t>
        </is>
      </c>
      <c r="Q7" s="18" t="inlineStr">
        <is>
          <t>EMERGENCIA</t>
        </is>
      </c>
      <c r="R7" s="18" t="inlineStr">
        <is>
          <t>TECHO</t>
        </is>
      </c>
      <c r="S7" s="18" t="inlineStr">
        <is>
          <t>CUENTA DE COBRO</t>
        </is>
      </c>
    </row>
    <row r="8">
      <c r="A8" s="27" t="n">
        <v>46003.41111111111</v>
      </c>
      <c r="B8" s="16" t="n">
        <v>1418</v>
      </c>
      <c r="C8" s="16" t="n">
        <v>1001</v>
      </c>
      <c r="D8" s="16" t="inlineStr">
        <is>
          <t>CERRADA</t>
        </is>
      </c>
      <c r="E8" s="16" t="inlineStr">
        <is>
          <t>PAGADA</t>
        </is>
      </c>
      <c r="F8" s="16" t="inlineStr">
        <is>
          <t>Servicios: viáticos</t>
        </is>
      </c>
      <c r="G8" s="16" t="inlineStr"/>
      <c r="H8" s="16" t="inlineStr">
        <is>
          <t>SERVICIO DE TRANSPORTE - UND</t>
        </is>
      </c>
      <c r="I8" s="28" t="n">
        <v>5</v>
      </c>
      <c r="J8" s="29" t="n">
        <v>50000</v>
      </c>
      <c r="K8" s="29" t="n">
        <v>250000</v>
      </c>
      <c r="L8" s="16" t="inlineStr">
        <is>
          <t>IVA 19%</t>
        </is>
      </c>
      <c r="M8" s="29" t="n">
        <v>47500</v>
      </c>
      <c r="N8" s="29" t="n">
        <v>297500</v>
      </c>
      <c r="O8" s="16" t="inlineStr">
        <is>
          <t>JULIO CESAR DEAVILA MARTINEZ</t>
        </is>
      </c>
      <c r="P8" s="16" t="inlineStr">
        <is>
          <t>TEXWORKS S.A.S.</t>
        </is>
      </c>
      <c r="Q8" s="16" t="inlineStr">
        <is>
          <t>PLANEADA</t>
        </is>
      </c>
      <c r="R8" s="16" t="inlineStr">
        <is>
          <t>TECHO</t>
        </is>
      </c>
      <c r="S8" s="16" t="inlineStr">
        <is>
          <t>TEX 6</t>
        </is>
      </c>
    </row>
    <row r="9">
      <c r="A9" s="30" t="n">
        <v>45995.75174768519</v>
      </c>
      <c r="B9" s="18" t="n">
        <v>1314</v>
      </c>
      <c r="C9" s="18" t="n">
        <v>1024</v>
      </c>
      <c r="D9" s="18" t="inlineStr">
        <is>
          <t>CERRADA</t>
        </is>
      </c>
      <c r="E9" s="18" t="inlineStr">
        <is>
          <t>PAGADA</t>
        </is>
      </c>
      <c r="F9" s="18" t="inlineStr">
        <is>
          <t>Servicios: Fletes</t>
        </is>
      </c>
      <c r="G9" s="18" t="inlineStr"/>
      <c r="H9" s="18" t="inlineStr">
        <is>
          <t>FLETE - UND</t>
        </is>
      </c>
      <c r="I9" s="31" t="n">
        <v>1</v>
      </c>
      <c r="J9" s="32" t="n">
        <v>682000</v>
      </c>
      <c r="K9" s="32" t="n">
        <v>682000</v>
      </c>
      <c r="L9" s="18" t="inlineStr"/>
      <c r="M9" s="32" t="n">
        <v>0</v>
      </c>
      <c r="N9" s="32" t="n">
        <v>682000</v>
      </c>
      <c r="O9" s="18" t="inlineStr">
        <is>
          <t>JULIO CESAR DEAVILA MARTINEZ</t>
        </is>
      </c>
      <c r="P9" s="18" t="inlineStr">
        <is>
          <t>RAUL BARBENLEY CASTRO RIVERA</t>
        </is>
      </c>
      <c r="Q9" s="18" t="inlineStr">
        <is>
          <t>EMERGENCIA</t>
        </is>
      </c>
      <c r="R9" s="18" t="inlineStr">
        <is>
          <t>TECHO</t>
        </is>
      </c>
      <c r="S9" s="18" t="inlineStr">
        <is>
          <t>CUENTA DE COBRO 1</t>
        </is>
      </c>
    </row>
    <row r="10">
      <c r="A10" s="27" t="n">
        <v>45995.62925925926</v>
      </c>
      <c r="B10" s="16" t="n">
        <v>1312</v>
      </c>
      <c r="C10" s="16" t="n">
        <v>1023</v>
      </c>
      <c r="D10" s="16" t="inlineStr">
        <is>
          <t>CERRADA</t>
        </is>
      </c>
      <c r="E10" s="16" t="inlineStr">
        <is>
          <t>PAGADA</t>
        </is>
      </c>
      <c r="F10" s="16" t="inlineStr">
        <is>
          <t>Electricos</t>
        </is>
      </c>
      <c r="G10" s="16" t="inlineStr"/>
      <c r="H10" s="16" t="inlineStr">
        <is>
          <t>BARRAJE DE ENTRADA Y SALIDA PARA INTERRUPTOR 160A CON CABLE 4/0 - UND</t>
        </is>
      </c>
      <c r="I10" s="28" t="n">
        <v>1</v>
      </c>
      <c r="J10" s="29" t="n">
        <v>468750</v>
      </c>
      <c r="K10" s="29" t="n">
        <v>468750</v>
      </c>
      <c r="L10" s="16" t="inlineStr">
        <is>
          <t>IVA 19%</t>
        </is>
      </c>
      <c r="M10" s="29" t="n">
        <v>89063</v>
      </c>
      <c r="N10" s="29" t="n">
        <v>557813</v>
      </c>
      <c r="O10" s="16" t="inlineStr">
        <is>
          <t>JULIO CESAR DEAVILA MARTINEZ</t>
        </is>
      </c>
      <c r="P10" s="16" t="inlineStr">
        <is>
          <t>TABLEROS ELECTRICOS S.A. TABLESA</t>
        </is>
      </c>
      <c r="Q10" s="16" t="inlineStr">
        <is>
          <t>EMERGENCIA</t>
        </is>
      </c>
      <c r="R10" s="16" t="inlineStr">
        <is>
          <t>TECHO</t>
        </is>
      </c>
      <c r="S10" s="16" t="inlineStr">
        <is>
          <t>COTIZACION: TA706-25</t>
        </is>
      </c>
    </row>
    <row r="11">
      <c r="A11" s="30" t="n">
        <v>45994.57589120371</v>
      </c>
      <c r="B11" s="18" t="n">
        <v>1304</v>
      </c>
      <c r="C11" s="18" t="n">
        <v>996</v>
      </c>
      <c r="D11" s="18" t="inlineStr">
        <is>
          <t>CERRADA</t>
        </is>
      </c>
      <c r="E11" s="18" t="inlineStr">
        <is>
          <t>PAGADA</t>
        </is>
      </c>
      <c r="F11" s="18" t="inlineStr">
        <is>
          <t>Servicios: viáticos</t>
        </is>
      </c>
      <c r="G11" s="18" t="inlineStr"/>
      <c r="H11" s="18" t="inlineStr">
        <is>
          <t>SERVICIO DE COMEDOR / RESTAURANTE - UND</t>
        </is>
      </c>
      <c r="I11" s="31" t="n">
        <v>1</v>
      </c>
      <c r="J11" s="32" t="n">
        <v>130000</v>
      </c>
      <c r="K11" s="32" t="n">
        <v>130000</v>
      </c>
      <c r="L11" s="18" t="inlineStr"/>
      <c r="M11" s="32" t="n">
        <v>0</v>
      </c>
      <c r="N11" s="32" t="n">
        <v>130000</v>
      </c>
      <c r="O11" s="18" t="inlineStr">
        <is>
          <t>JULIO CESAR DEAVILA MARTINEZ</t>
        </is>
      </c>
      <c r="P11" s="18" t="inlineStr">
        <is>
          <t>NEXORA SERVICIOS SAS</t>
        </is>
      </c>
      <c r="Q11" s="18" t="inlineStr">
        <is>
          <t>PLANEADA</t>
        </is>
      </c>
      <c r="R11" s="18" t="inlineStr">
        <is>
          <t>TECHO</t>
        </is>
      </c>
      <c r="S11" s="18" t="inlineStr">
        <is>
          <t>CUENTA DE COBRO 6 - FE37 MICHELL DUQUE</t>
        </is>
      </c>
    </row>
    <row r="12">
      <c r="A12" s="27" t="n">
        <v>45994.57287037037</v>
      </c>
      <c r="B12" s="16" t="n">
        <v>1299</v>
      </c>
      <c r="C12" s="16" t="n">
        <v>977</v>
      </c>
      <c r="D12" s="16" t="inlineStr">
        <is>
          <t>CERRADA</t>
        </is>
      </c>
      <c r="E12" s="16" t="inlineStr">
        <is>
          <t>PAGADA</t>
        </is>
      </c>
      <c r="F12" s="16" t="inlineStr">
        <is>
          <t>Servicios: viáticos</t>
        </is>
      </c>
      <c r="G12" s="16" t="inlineStr"/>
      <c r="H12" s="16" t="inlineStr">
        <is>
          <t>SERVICIO DE HOTEL - UND</t>
        </is>
      </c>
      <c r="I12" s="28" t="n">
        <v>1</v>
      </c>
      <c r="J12" s="29" t="n">
        <v>538860</v>
      </c>
      <c r="K12" s="29" t="n">
        <v>538860</v>
      </c>
      <c r="L12" s="16" t="inlineStr"/>
      <c r="M12" s="29" t="n">
        <v>0</v>
      </c>
      <c r="N12" s="29" t="n">
        <v>538860</v>
      </c>
      <c r="O12" s="16" t="inlineStr">
        <is>
          <t>JULIO CESAR DEAVILA MARTINEZ</t>
        </is>
      </c>
      <c r="P12" s="16" t="inlineStr">
        <is>
          <t>CLARA INES GOMEZ GONZALEZ</t>
        </is>
      </c>
      <c r="Q12" s="16" t="inlineStr">
        <is>
          <t>EMERGENCIA</t>
        </is>
      </c>
      <c r="R12" s="16" t="inlineStr">
        <is>
          <t>TECHO</t>
        </is>
      </c>
      <c r="S12" s="16" t="inlineStr">
        <is>
          <t>CUENTA DE COBRO 2</t>
        </is>
      </c>
    </row>
    <row r="13">
      <c r="A13" s="30" t="n">
        <v>45994.57018518518</v>
      </c>
      <c r="B13" s="18" t="n">
        <v>1296</v>
      </c>
      <c r="C13" s="18" t="n">
        <v>973</v>
      </c>
      <c r="D13" s="18" t="inlineStr">
        <is>
          <t>CERRADA</t>
        </is>
      </c>
      <c r="E13" s="18" t="inlineStr">
        <is>
          <t>PAGADA</t>
        </is>
      </c>
      <c r="F13" s="18" t="inlineStr">
        <is>
          <t>Electricos</t>
        </is>
      </c>
      <c r="G13" s="18" t="inlineStr"/>
      <c r="H13" s="18" t="inlineStr">
        <is>
          <t>RIEL CHANNEL 4X2 RANURADO X 2,68M - UND</t>
        </is>
      </c>
      <c r="I13" s="31" t="n">
        <v>4</v>
      </c>
      <c r="J13" s="32" t="n">
        <v>22900</v>
      </c>
      <c r="K13" s="32" t="n">
        <v>91600</v>
      </c>
      <c r="L13" s="18" t="inlineStr">
        <is>
          <t>IVA 19%</t>
        </is>
      </c>
      <c r="M13" s="32" t="n">
        <v>17404</v>
      </c>
      <c r="N13" s="32" t="n">
        <v>109004</v>
      </c>
      <c r="O13" s="18" t="inlineStr">
        <is>
          <t>JULIO CESAR DEAVILA MARTINEZ</t>
        </is>
      </c>
      <c r="P13" s="18" t="inlineStr">
        <is>
          <t>POTENCIA Y TECNOLOGIA  S.A.S</t>
        </is>
      </c>
      <c r="Q13" s="18" t="inlineStr">
        <is>
          <t>EMERGENCIA</t>
        </is>
      </c>
      <c r="R13" s="18" t="inlineStr">
        <is>
          <t>TECHO</t>
        </is>
      </c>
      <c r="S13" s="18" t="inlineStr">
        <is>
          <t>FEC 121391</t>
        </is>
      </c>
    </row>
    <row r="14">
      <c r="A14" s="27" t="n">
        <v>45988.33652777778</v>
      </c>
      <c r="B14" s="16" t="n">
        <v>1256</v>
      </c>
      <c r="C14" s="16" t="n">
        <v>952</v>
      </c>
      <c r="D14" s="16" t="inlineStr">
        <is>
          <t>CERRADA</t>
        </is>
      </c>
      <c r="E14" s="16" t="inlineStr">
        <is>
          <t>PAGADA</t>
        </is>
      </c>
      <c r="F14" s="16" t="inlineStr">
        <is>
          <t>Servicios: Subcontratos</t>
        </is>
      </c>
      <c r="G14" s="16" t="inlineStr"/>
      <c r="H14" s="16" t="inlineStr">
        <is>
          <t>ALQUILER POLIPASTO ELECTRICO O WINCHE - UND</t>
        </is>
      </c>
      <c r="I14" s="28" t="n">
        <v>7</v>
      </c>
      <c r="J14" s="29" t="n">
        <v>50000</v>
      </c>
      <c r="K14" s="29" t="n">
        <v>350000</v>
      </c>
      <c r="L14" s="16" t="inlineStr"/>
      <c r="M14" s="29" t="n">
        <v>0</v>
      </c>
      <c r="N14" s="29" t="n">
        <v>350000</v>
      </c>
      <c r="O14" s="16" t="inlineStr">
        <is>
          <t>JULIO CESAR DEAVILA MARTINEZ</t>
        </is>
      </c>
      <c r="P14" s="16" t="inlineStr">
        <is>
          <t>RAUL BARBENLEY CASTRO RIVERA</t>
        </is>
      </c>
      <c r="Q14" s="16" t="inlineStr">
        <is>
          <t>PLANEADA</t>
        </is>
      </c>
      <c r="R14" s="16" t="inlineStr">
        <is>
          <t>TECHO</t>
        </is>
      </c>
      <c r="S14" s="16" t="inlineStr">
        <is>
          <t>CUENTA DE COBRO</t>
        </is>
      </c>
    </row>
    <row r="15">
      <c r="A15" s="30" t="n">
        <v>45988.33652777778</v>
      </c>
      <c r="B15" s="18" t="n">
        <v>1256</v>
      </c>
      <c r="C15" s="18" t="n">
        <v>952</v>
      </c>
      <c r="D15" s="18" t="inlineStr">
        <is>
          <t>CERRADA</t>
        </is>
      </c>
      <c r="E15" s="18" t="inlineStr">
        <is>
          <t>PAGADA</t>
        </is>
      </c>
      <c r="F15" s="18" t="inlineStr">
        <is>
          <t>Servicios: Subcontratos</t>
        </is>
      </c>
      <c r="G15" s="18" t="inlineStr"/>
      <c r="H15" s="18" t="inlineStr">
        <is>
          <t>ALQUILER DE SIERRA CIRCULAR - UND</t>
        </is>
      </c>
      <c r="I15" s="31" t="n">
        <v>4</v>
      </c>
      <c r="J15" s="32" t="n">
        <v>50000</v>
      </c>
      <c r="K15" s="32" t="n">
        <v>200000</v>
      </c>
      <c r="L15" s="18" t="inlineStr"/>
      <c r="M15" s="32" t="n">
        <v>0</v>
      </c>
      <c r="N15" s="32" t="n">
        <v>200000</v>
      </c>
      <c r="O15" s="18" t="inlineStr">
        <is>
          <t>JULIO CESAR DEAVILA MARTINEZ</t>
        </is>
      </c>
      <c r="P15" s="18" t="inlineStr">
        <is>
          <t>RAUL BARBENLEY CASTRO RIVERA</t>
        </is>
      </c>
      <c r="Q15" s="18" t="inlineStr">
        <is>
          <t>PLANEADA</t>
        </is>
      </c>
      <c r="R15" s="18" t="inlineStr">
        <is>
          <t>TECHO</t>
        </is>
      </c>
      <c r="S15" s="18" t="inlineStr">
        <is>
          <t>CUENTA DE COBRO</t>
        </is>
      </c>
    </row>
    <row r="16">
      <c r="A16" s="27" t="n">
        <v>45987.70513888889</v>
      </c>
      <c r="B16" s="16" t="n">
        <v>1254</v>
      </c>
      <c r="C16" s="16" t="n">
        <v>944</v>
      </c>
      <c r="D16" s="16" t="inlineStr">
        <is>
          <t>CERRADA</t>
        </is>
      </c>
      <c r="E16" s="16" t="inlineStr">
        <is>
          <t>PAGADA</t>
        </is>
      </c>
      <c r="F16" s="16" t="inlineStr">
        <is>
          <t>Servicios: viáticos</t>
        </is>
      </c>
      <c r="G16" s="16" t="inlineStr"/>
      <c r="H16" s="16" t="inlineStr">
        <is>
          <t>SERVICIO DE COMEDOR / RESTAURANTE - UND</t>
        </is>
      </c>
      <c r="I16" s="28" t="n">
        <v>1</v>
      </c>
      <c r="J16" s="29" t="n">
        <v>130000</v>
      </c>
      <c r="K16" s="29" t="n">
        <v>130000</v>
      </c>
      <c r="L16" s="16" t="inlineStr"/>
      <c r="M16" s="29" t="n">
        <v>0</v>
      </c>
      <c r="N16" s="29" t="n">
        <v>130000</v>
      </c>
      <c r="O16" s="16" t="inlineStr">
        <is>
          <t>JULIO CESAR DEAVILA MARTINEZ</t>
        </is>
      </c>
      <c r="P16" s="16" t="inlineStr">
        <is>
          <t>NEXORA SERVICIOS SAS</t>
        </is>
      </c>
      <c r="Q16" s="16" t="inlineStr">
        <is>
          <t>PLANEADA</t>
        </is>
      </c>
      <c r="R16" s="16" t="inlineStr">
        <is>
          <t>TECHO</t>
        </is>
      </c>
      <c r="S16" s="16" t="inlineStr">
        <is>
          <t>CUENTA DE COBRO 5 - FE34</t>
        </is>
      </c>
    </row>
    <row r="17">
      <c r="A17" s="30" t="n">
        <v>45986.44333333334</v>
      </c>
      <c r="B17" s="18" t="n">
        <v>1212</v>
      </c>
      <c r="C17" s="18" t="n">
        <v>921</v>
      </c>
      <c r="D17" s="18" t="inlineStr">
        <is>
          <t>CERRADA</t>
        </is>
      </c>
      <c r="E17" s="18" t="inlineStr">
        <is>
          <t>PAGADA</t>
        </is>
      </c>
      <c r="F17" s="18" t="inlineStr">
        <is>
          <t>Servicios: viáticos</t>
        </is>
      </c>
      <c r="G17" s="18" t="inlineStr"/>
      <c r="H17" s="18" t="inlineStr">
        <is>
          <t>SERVICIO DE HOTEL - UND</t>
        </is>
      </c>
      <c r="I17" s="31" t="n">
        <v>1</v>
      </c>
      <c r="J17" s="32" t="n">
        <v>1378239</v>
      </c>
      <c r="K17" s="32" t="n">
        <v>1378239</v>
      </c>
      <c r="L17" s="18" t="inlineStr"/>
      <c r="M17" s="32" t="n">
        <v>0</v>
      </c>
      <c r="N17" s="32" t="n">
        <v>1378239</v>
      </c>
      <c r="O17" s="18" t="inlineStr">
        <is>
          <t>JULIO CESAR DEAVILA MARTINEZ</t>
        </is>
      </c>
      <c r="P17" s="18" t="inlineStr">
        <is>
          <t>CLARA INES GOMEZ GONZALEZ</t>
        </is>
      </c>
      <c r="Q17" s="18" t="inlineStr">
        <is>
          <t>EMERGENCIA</t>
        </is>
      </c>
      <c r="R17" s="18" t="inlineStr">
        <is>
          <t>TECHO</t>
        </is>
      </c>
      <c r="S17" s="18" t="inlineStr">
        <is>
          <t>CUENTA DE COBRO 1</t>
        </is>
      </c>
    </row>
    <row r="18">
      <c r="A18" s="27" t="n">
        <v>45980.37805555556</v>
      </c>
      <c r="B18" s="16" t="n">
        <v>1172</v>
      </c>
      <c r="C18" s="16" t="n">
        <v>872</v>
      </c>
      <c r="D18" s="16" t="inlineStr">
        <is>
          <t>CERRADA</t>
        </is>
      </c>
      <c r="E18" s="16" t="inlineStr">
        <is>
          <t>PAGADA</t>
        </is>
      </c>
      <c r="F18" s="16" t="inlineStr">
        <is>
          <t>Servicios: Fletes</t>
        </is>
      </c>
      <c r="G18" s="16" t="inlineStr"/>
      <c r="H18" s="16" t="inlineStr">
        <is>
          <t>FLETE - UND</t>
        </is>
      </c>
      <c r="I18" s="28" t="n">
        <v>1</v>
      </c>
      <c r="J18" s="29" t="n">
        <v>141415</v>
      </c>
      <c r="K18" s="29" t="n">
        <v>141415</v>
      </c>
      <c r="L18" s="16" t="inlineStr"/>
      <c r="M18" s="29" t="n">
        <v>0</v>
      </c>
      <c r="N18" s="29" t="n">
        <v>141415</v>
      </c>
      <c r="O18" s="16" t="inlineStr">
        <is>
          <t>JULIO CESAR DEAVILA MARTINEZ</t>
        </is>
      </c>
      <c r="P18" s="16" t="inlineStr">
        <is>
          <t>VAIRON ALEJANDRO URBANO ORTEGA</t>
        </is>
      </c>
      <c r="Q18" s="16" t="inlineStr">
        <is>
          <t>EMERGENCIA</t>
        </is>
      </c>
      <c r="R18" s="16" t="inlineStr">
        <is>
          <t>TECHO</t>
        </is>
      </c>
      <c r="S18" s="16" t="inlineStr">
        <is>
          <t>CUENTA DE COBRO</t>
        </is>
      </c>
    </row>
    <row r="19">
      <c r="A19" s="30" t="n">
        <v>45979.35416666666</v>
      </c>
      <c r="B19" s="18" t="n">
        <v>1124</v>
      </c>
      <c r="C19" s="18" t="n">
        <v>850</v>
      </c>
      <c r="D19" s="18" t="inlineStr">
        <is>
          <t>CERRADA</t>
        </is>
      </c>
      <c r="E19" s="18" t="inlineStr">
        <is>
          <t>PAGADA</t>
        </is>
      </c>
      <c r="F19" s="18" t="inlineStr">
        <is>
          <t>Servicios: viáticos</t>
        </is>
      </c>
      <c r="G19" s="18" t="inlineStr"/>
      <c r="H19" s="18" t="inlineStr">
        <is>
          <t>SERVICIO DE COMEDOR / RESTAURANTE - UND</t>
        </is>
      </c>
      <c r="I19" s="31" t="n">
        <v>1</v>
      </c>
      <c r="J19" s="32" t="n">
        <v>130000</v>
      </c>
      <c r="K19" s="32" t="n">
        <v>130000</v>
      </c>
      <c r="L19" s="18" t="inlineStr"/>
      <c r="M19" s="32" t="n">
        <v>0</v>
      </c>
      <c r="N19" s="32" t="n">
        <v>130000</v>
      </c>
      <c r="O19" s="18" t="inlineStr">
        <is>
          <t>JULIO CESAR DEAVILA MARTINEZ</t>
        </is>
      </c>
      <c r="P19" s="18" t="inlineStr">
        <is>
          <t>NEXORA SERVICIOS SAS</t>
        </is>
      </c>
      <c r="Q19" s="18" t="inlineStr">
        <is>
          <t>PLANEADA</t>
        </is>
      </c>
      <c r="R19" s="18" t="inlineStr">
        <is>
          <t>TECHO</t>
        </is>
      </c>
      <c r="S19" s="18" t="inlineStr">
        <is>
          <t>FE24 - CUENTA DE COBRO 4</t>
        </is>
      </c>
    </row>
    <row r="20">
      <c r="A20" s="27" t="n">
        <v>45979.35358796296</v>
      </c>
      <c r="B20" s="16" t="n">
        <v>1123</v>
      </c>
      <c r="C20" s="16" t="n">
        <v>873</v>
      </c>
      <c r="D20" s="16" t="inlineStr">
        <is>
          <t>CERRADA</t>
        </is>
      </c>
      <c r="E20" s="16" t="inlineStr">
        <is>
          <t>PAGADA</t>
        </is>
      </c>
      <c r="F20" s="16" t="inlineStr">
        <is>
          <t>Obra Civil</t>
        </is>
      </c>
      <c r="G20" s="16" t="inlineStr"/>
      <c r="H20" s="16" t="inlineStr">
        <is>
          <t>SIKAFILL POWER GRIS 12 AÑOS CUÑETE SIKA - UND</t>
        </is>
      </c>
      <c r="I20" s="28" t="n">
        <v>2</v>
      </c>
      <c r="J20" s="29" t="n">
        <v>409500</v>
      </c>
      <c r="K20" s="29" t="n">
        <v>819000</v>
      </c>
      <c r="L20" s="16" t="inlineStr">
        <is>
          <t>IVA 19%</t>
        </is>
      </c>
      <c r="M20" s="29" t="n">
        <v>155610</v>
      </c>
      <c r="N20" s="29" t="n">
        <v>974610</v>
      </c>
      <c r="O20" s="16" t="inlineStr">
        <is>
          <t>JULIO CESAR DEAVILA MARTINEZ</t>
        </is>
      </c>
      <c r="P20" s="16" t="inlineStr">
        <is>
          <t>FERREPLASTICOS CALI S.A.S</t>
        </is>
      </c>
      <c r="Q20" s="16" t="inlineStr">
        <is>
          <t>PLANEADA</t>
        </is>
      </c>
      <c r="R20" s="16" t="inlineStr">
        <is>
          <t>TECHO</t>
        </is>
      </c>
      <c r="S20" s="16" t="inlineStr">
        <is>
          <t>EC136568</t>
        </is>
      </c>
    </row>
    <row r="21">
      <c r="A21" s="30" t="n">
        <v>45979.35358796296</v>
      </c>
      <c r="B21" s="18" t="n">
        <v>1123</v>
      </c>
      <c r="C21" s="18" t="n">
        <v>873</v>
      </c>
      <c r="D21" s="18" t="inlineStr">
        <is>
          <t>CERRADA</t>
        </is>
      </c>
      <c r="E21" s="18" t="inlineStr">
        <is>
          <t>PAGADA</t>
        </is>
      </c>
      <c r="F21" s="18" t="inlineStr">
        <is>
          <t>Obra Civil</t>
        </is>
      </c>
      <c r="G21" s="18" t="inlineStr"/>
      <c r="H21" s="18" t="inlineStr">
        <is>
          <t>SIKA ALUMOL 16 KG  - UND</t>
        </is>
      </c>
      <c r="I21" s="31" t="n">
        <v>2</v>
      </c>
      <c r="J21" s="32" t="n">
        <v>665000</v>
      </c>
      <c r="K21" s="32" t="n">
        <v>1330000</v>
      </c>
      <c r="L21" s="18" t="inlineStr">
        <is>
          <t>IVA 19%</t>
        </is>
      </c>
      <c r="M21" s="32" t="n">
        <v>252700</v>
      </c>
      <c r="N21" s="32" t="n">
        <v>1582700</v>
      </c>
      <c r="O21" s="18" t="inlineStr">
        <is>
          <t>JULIO CESAR DEAVILA MARTINEZ</t>
        </is>
      </c>
      <c r="P21" s="18" t="inlineStr">
        <is>
          <t>FERREPLASTICOS CALI S.A.S</t>
        </is>
      </c>
      <c r="Q21" s="18" t="inlineStr">
        <is>
          <t>PLANEADA</t>
        </is>
      </c>
      <c r="R21" s="18" t="inlineStr">
        <is>
          <t>TECHO</t>
        </is>
      </c>
      <c r="S21" s="18" t="inlineStr">
        <is>
          <t>EC136568</t>
        </is>
      </c>
    </row>
    <row r="22">
      <c r="A22" s="27" t="n">
        <v>45974.40572916667</v>
      </c>
      <c r="B22" s="16" t="n">
        <v>1088</v>
      </c>
      <c r="C22" s="16" t="n">
        <v>851</v>
      </c>
      <c r="D22" s="16" t="inlineStr">
        <is>
          <t>CERRADA</t>
        </is>
      </c>
      <c r="E22" s="16" t="inlineStr">
        <is>
          <t>PAGADA</t>
        </is>
      </c>
      <c r="F22" s="16" t="inlineStr">
        <is>
          <t>Obra Civil</t>
        </is>
      </c>
      <c r="G22" s="16" t="inlineStr"/>
      <c r="H22" s="16" t="inlineStr">
        <is>
          <t>SIKAFILL POWER GRIS 12 AÑOS CUÑETE SIKA - UND</t>
        </is>
      </c>
      <c r="I22" s="28" t="n">
        <v>1</v>
      </c>
      <c r="J22" s="29" t="n">
        <v>409500</v>
      </c>
      <c r="K22" s="29" t="n">
        <v>409500</v>
      </c>
      <c r="L22" s="16" t="inlineStr">
        <is>
          <t>IVA 19%</t>
        </is>
      </c>
      <c r="M22" s="29" t="n">
        <v>77805</v>
      </c>
      <c r="N22" s="29" t="n">
        <v>487305</v>
      </c>
      <c r="O22" s="16" t="inlineStr">
        <is>
          <t>JULIO CESAR DEAVILA MARTINEZ</t>
        </is>
      </c>
      <c r="P22" s="16" t="inlineStr">
        <is>
          <t>FERREPLASTICOS CALI S.A.S</t>
        </is>
      </c>
      <c r="Q22" s="16" t="inlineStr">
        <is>
          <t>EMERGENCIA</t>
        </is>
      </c>
      <c r="R22" s="16" t="inlineStr">
        <is>
          <t>TECHO</t>
        </is>
      </c>
      <c r="S22" s="16" t="inlineStr">
        <is>
          <t>EC 136268</t>
        </is>
      </c>
    </row>
    <row r="23">
      <c r="A23" s="30" t="n">
        <v>45974.40572916667</v>
      </c>
      <c r="B23" s="18" t="n">
        <v>1088</v>
      </c>
      <c r="C23" s="18" t="n">
        <v>851</v>
      </c>
      <c r="D23" s="18" t="inlineStr">
        <is>
          <t>CERRADA</t>
        </is>
      </c>
      <c r="E23" s="18" t="inlineStr">
        <is>
          <t>PAGADA</t>
        </is>
      </c>
      <c r="F23" s="18" t="inlineStr">
        <is>
          <t>Obra Civil</t>
        </is>
      </c>
      <c r="G23" s="18" t="inlineStr"/>
      <c r="H23" s="18" t="inlineStr">
        <is>
          <t>SIKA ALUMOL 16 KG  - UND</t>
        </is>
      </c>
      <c r="I23" s="31" t="n">
        <v>1</v>
      </c>
      <c r="J23" s="32" t="n">
        <v>665000</v>
      </c>
      <c r="K23" s="32" t="n">
        <v>665000</v>
      </c>
      <c r="L23" s="18" t="inlineStr">
        <is>
          <t>IVA 19%</t>
        </is>
      </c>
      <c r="M23" s="32" t="n">
        <v>126350</v>
      </c>
      <c r="N23" s="32" t="n">
        <v>791350</v>
      </c>
      <c r="O23" s="18" t="inlineStr">
        <is>
          <t>JULIO CESAR DEAVILA MARTINEZ</t>
        </is>
      </c>
      <c r="P23" s="18" t="inlineStr">
        <is>
          <t>FERREPLASTICOS CALI S.A.S</t>
        </is>
      </c>
      <c r="Q23" s="18" t="inlineStr">
        <is>
          <t>EMERGENCIA</t>
        </is>
      </c>
      <c r="R23" s="18" t="inlineStr">
        <is>
          <t>TECHO</t>
        </is>
      </c>
      <c r="S23" s="18" t="inlineStr">
        <is>
          <t>EC 136268</t>
        </is>
      </c>
    </row>
    <row r="24">
      <c r="A24" s="27" t="n">
        <v>45973.45881944444</v>
      </c>
      <c r="B24" s="16" t="n">
        <v>1076</v>
      </c>
      <c r="C24" s="16" t="n">
        <v>814</v>
      </c>
      <c r="D24" s="16" t="inlineStr">
        <is>
          <t>CERRADA</t>
        </is>
      </c>
      <c r="E24" s="16" t="inlineStr">
        <is>
          <t>PAGADA</t>
        </is>
      </c>
      <c r="F24" s="16" t="inlineStr">
        <is>
          <t>Servicios: viáticos</t>
        </is>
      </c>
      <c r="G24" s="16" t="inlineStr"/>
      <c r="H24" s="16" t="inlineStr">
        <is>
          <t>SERVICIO DE RESTAURANTE - UND</t>
        </is>
      </c>
      <c r="I24" s="28" t="n">
        <v>1</v>
      </c>
      <c r="J24" s="29" t="n">
        <v>1036270</v>
      </c>
      <c r="K24" s="29" t="n">
        <v>1036270</v>
      </c>
      <c r="L24" s="16" t="inlineStr"/>
      <c r="M24" s="29" t="n">
        <v>0</v>
      </c>
      <c r="N24" s="29" t="n">
        <v>1036270</v>
      </c>
      <c r="O24" s="16" t="inlineStr">
        <is>
          <t>JULIO CESAR DEAVILA MARTINEZ</t>
        </is>
      </c>
      <c r="P24" s="16" t="inlineStr">
        <is>
          <t>ENERIETH  MONTENEGRO BOLAÑOS</t>
        </is>
      </c>
      <c r="Q24" s="16" t="inlineStr">
        <is>
          <t>PLANEADA</t>
        </is>
      </c>
      <c r="R24" s="16" t="inlineStr">
        <is>
          <t>TECHO</t>
        </is>
      </c>
      <c r="S24" s="16" t="inlineStr">
        <is>
          <t>Cuenta de cobro</t>
        </is>
      </c>
    </row>
    <row r="25">
      <c r="A25" s="30" t="n">
        <v>45972.58501157408</v>
      </c>
      <c r="B25" s="18" t="n">
        <v>1068</v>
      </c>
      <c r="C25" s="18" t="n">
        <v>830</v>
      </c>
      <c r="D25" s="18" t="inlineStr">
        <is>
          <t>CERRADA</t>
        </is>
      </c>
      <c r="E25" s="18" t="inlineStr">
        <is>
          <t>CAUSADA</t>
        </is>
      </c>
      <c r="F25" s="18" t="inlineStr">
        <is>
          <t>Electricos</t>
        </is>
      </c>
      <c r="G25" s="18" t="inlineStr"/>
      <c r="H25" s="18" t="inlineStr">
        <is>
          <t>CABLE UTP CAT 6  INTERIOR LSZH  GRIS X 1000 MTS EVSOLUTIONS - UND</t>
        </is>
      </c>
      <c r="I25" s="31" t="n">
        <v>115</v>
      </c>
      <c r="J25" s="32" t="n">
        <v>2243.78</v>
      </c>
      <c r="K25" s="32" t="n">
        <v>258034.7</v>
      </c>
      <c r="L25" s="18" t="inlineStr">
        <is>
          <t>IVA 19%</t>
        </is>
      </c>
      <c r="M25" s="32" t="n">
        <v>49027</v>
      </c>
      <c r="N25" s="32" t="n">
        <v>307061.7</v>
      </c>
      <c r="O25" s="18" t="inlineStr">
        <is>
          <t>JULIO CESAR DEAVILA MARTINEZ</t>
        </is>
      </c>
      <c r="P25" s="18" t="inlineStr">
        <is>
          <t>ELECTRICOS DEL VALLE SAS</t>
        </is>
      </c>
      <c r="Q25" s="18" t="inlineStr">
        <is>
          <t>URGENCIA</t>
        </is>
      </c>
      <c r="R25" s="18" t="inlineStr">
        <is>
          <t>TECHO</t>
        </is>
      </c>
      <c r="S25" s="18" t="inlineStr">
        <is>
          <t>EPE19137</t>
        </is>
      </c>
    </row>
    <row r="26">
      <c r="A26" s="27" t="n">
        <v>45972.58501157408</v>
      </c>
      <c r="B26" s="16" t="n">
        <v>1068</v>
      </c>
      <c r="C26" s="16" t="n">
        <v>830</v>
      </c>
      <c r="D26" s="16" t="inlineStr">
        <is>
          <t>CERRADA</t>
        </is>
      </c>
      <c r="E26" s="16" t="inlineStr">
        <is>
          <t>CAUSADA</t>
        </is>
      </c>
      <c r="F26" s="16" t="inlineStr">
        <is>
          <t>Electricos</t>
        </is>
      </c>
      <c r="G26" s="16" t="inlineStr"/>
      <c r="H26" s="16" t="inlineStr">
        <is>
          <t>CURVA 3/4" IMC GALVANIZADA E.V SOLUTIONS - UND</t>
        </is>
      </c>
      <c r="I26" s="28" t="n">
        <v>2</v>
      </c>
      <c r="J26" s="29" t="n">
        <v>3242.5</v>
      </c>
      <c r="K26" s="29" t="n">
        <v>6485</v>
      </c>
      <c r="L26" s="16" t="inlineStr">
        <is>
          <t>IVA 19%</t>
        </is>
      </c>
      <c r="M26" s="29" t="n">
        <v>1232</v>
      </c>
      <c r="N26" s="29" t="n">
        <v>7717</v>
      </c>
      <c r="O26" s="16" t="inlineStr">
        <is>
          <t>JULIO CESAR DEAVILA MARTINEZ</t>
        </is>
      </c>
      <c r="P26" s="16" t="inlineStr">
        <is>
          <t>ELECTRICOS DEL VALLE SAS</t>
        </is>
      </c>
      <c r="Q26" s="16" t="inlineStr">
        <is>
          <t>URGENCIA</t>
        </is>
      </c>
      <c r="R26" s="16" t="inlineStr">
        <is>
          <t>TECHO</t>
        </is>
      </c>
      <c r="S26" s="16" t="inlineStr">
        <is>
          <t>EPE19137</t>
        </is>
      </c>
    </row>
    <row r="27">
      <c r="A27" s="30" t="n">
        <v>45972.58501157408</v>
      </c>
      <c r="B27" s="18" t="n">
        <v>1068</v>
      </c>
      <c r="C27" s="18" t="n">
        <v>830</v>
      </c>
      <c r="D27" s="18" t="inlineStr">
        <is>
          <t>CERRADA</t>
        </is>
      </c>
      <c r="E27" s="18" t="inlineStr">
        <is>
          <t>CAUSADA</t>
        </is>
      </c>
      <c r="F27" s="18" t="inlineStr">
        <is>
          <t>Electricos</t>
        </is>
      </c>
      <c r="G27" s="18" t="inlineStr"/>
      <c r="H27" s="18" t="inlineStr">
        <is>
          <t>CURVA 1/2"IMC RANGO LARGO - UND</t>
        </is>
      </c>
      <c r="I27" s="31" t="n">
        <v>2</v>
      </c>
      <c r="J27" s="32" t="n">
        <v>3426.5</v>
      </c>
      <c r="K27" s="32" t="n">
        <v>6853</v>
      </c>
      <c r="L27" s="18" t="inlineStr">
        <is>
          <t>IVA 19%</t>
        </is>
      </c>
      <c r="M27" s="32" t="n">
        <v>1302</v>
      </c>
      <c r="N27" s="32" t="n">
        <v>8155</v>
      </c>
      <c r="O27" s="18" t="inlineStr">
        <is>
          <t>JULIO CESAR DEAVILA MARTINEZ</t>
        </is>
      </c>
      <c r="P27" s="18" t="inlineStr">
        <is>
          <t>ELECTRICOS DEL VALLE SAS</t>
        </is>
      </c>
      <c r="Q27" s="18" t="inlineStr">
        <is>
          <t>URGENCIA</t>
        </is>
      </c>
      <c r="R27" s="18" t="inlineStr">
        <is>
          <t>TECHO</t>
        </is>
      </c>
      <c r="S27" s="18" t="inlineStr">
        <is>
          <t>EPE19137</t>
        </is>
      </c>
    </row>
    <row r="28">
      <c r="A28" s="27" t="n">
        <v>45972.58501157408</v>
      </c>
      <c r="B28" s="16" t="n">
        <v>1068</v>
      </c>
      <c r="C28" s="16" t="n">
        <v>830</v>
      </c>
      <c r="D28" s="16" t="inlineStr">
        <is>
          <t>CERRADA</t>
        </is>
      </c>
      <c r="E28" s="16" t="inlineStr">
        <is>
          <t>CAUSADA</t>
        </is>
      </c>
      <c r="F28" s="16" t="inlineStr">
        <is>
          <t>Electricos</t>
        </is>
      </c>
      <c r="G28" s="16" t="inlineStr"/>
      <c r="H28" s="16" t="inlineStr">
        <is>
          <t>CURVA 1" IMC RANGO LARGO - UND</t>
        </is>
      </c>
      <c r="I28" s="28" t="n">
        <v>3</v>
      </c>
      <c r="J28" s="29" t="n">
        <v>5549.33</v>
      </c>
      <c r="K28" s="29" t="n">
        <v>16647.99</v>
      </c>
      <c r="L28" s="16" t="inlineStr">
        <is>
          <t>IVA 19%</t>
        </is>
      </c>
      <c r="M28" s="29" t="n">
        <v>3163</v>
      </c>
      <c r="N28" s="29" t="n">
        <v>19810.99</v>
      </c>
      <c r="O28" s="16" t="inlineStr">
        <is>
          <t>JULIO CESAR DEAVILA MARTINEZ</t>
        </is>
      </c>
      <c r="P28" s="16" t="inlineStr">
        <is>
          <t>ELECTRICOS DEL VALLE SAS</t>
        </is>
      </c>
      <c r="Q28" s="16" t="inlineStr">
        <is>
          <t>URGENCIA</t>
        </is>
      </c>
      <c r="R28" s="16" t="inlineStr">
        <is>
          <t>TECHO</t>
        </is>
      </c>
      <c r="S28" s="16" t="inlineStr">
        <is>
          <t>EPE19137</t>
        </is>
      </c>
    </row>
    <row r="29">
      <c r="A29" s="30" t="n">
        <v>45972.58501157408</v>
      </c>
      <c r="B29" s="18" t="n">
        <v>1068</v>
      </c>
      <c r="C29" s="18" t="n">
        <v>830</v>
      </c>
      <c r="D29" s="18" t="inlineStr">
        <is>
          <t>CERRADA</t>
        </is>
      </c>
      <c r="E29" s="18" t="inlineStr">
        <is>
          <t>CAUSADA</t>
        </is>
      </c>
      <c r="F29" s="18" t="inlineStr">
        <is>
          <t>Electricos</t>
        </is>
      </c>
      <c r="G29" s="18" t="inlineStr"/>
      <c r="H29" s="18" t="inlineStr">
        <is>
          <t>CONDULETA LB ROSCADA 1/2" 1307-OLB-2986-C - UND</t>
        </is>
      </c>
      <c r="I29" s="31" t="n">
        <v>2</v>
      </c>
      <c r="J29" s="32" t="n">
        <v>6039</v>
      </c>
      <c r="K29" s="32" t="n">
        <v>12078</v>
      </c>
      <c r="L29" s="18" t="inlineStr">
        <is>
          <t>IVA 19%</t>
        </is>
      </c>
      <c r="M29" s="32" t="n">
        <v>2295</v>
      </c>
      <c r="N29" s="32" t="n">
        <v>14373</v>
      </c>
      <c r="O29" s="18" t="inlineStr">
        <is>
          <t>JULIO CESAR DEAVILA MARTINEZ</t>
        </is>
      </c>
      <c r="P29" s="18" t="inlineStr">
        <is>
          <t>ELECTRICOS DEL VALLE SAS</t>
        </is>
      </c>
      <c r="Q29" s="18" t="inlineStr">
        <is>
          <t>URGENCIA</t>
        </is>
      </c>
      <c r="R29" s="18" t="inlineStr">
        <is>
          <t>TECHO</t>
        </is>
      </c>
      <c r="S29" s="18" t="inlineStr">
        <is>
          <t>EPE19137</t>
        </is>
      </c>
    </row>
    <row r="30">
      <c r="A30" s="27" t="n">
        <v>45972.58501157408</v>
      </c>
      <c r="B30" s="16" t="n">
        <v>1068</v>
      </c>
      <c r="C30" s="16" t="n">
        <v>830</v>
      </c>
      <c r="D30" s="16" t="inlineStr">
        <is>
          <t>CERRADA</t>
        </is>
      </c>
      <c r="E30" s="16" t="inlineStr">
        <is>
          <t>CAUSADA</t>
        </is>
      </c>
      <c r="F30" s="16" t="inlineStr">
        <is>
          <t>Electricos</t>
        </is>
      </c>
      <c r="G30" s="16" t="inlineStr"/>
      <c r="H30" s="16" t="inlineStr">
        <is>
          <t>CONDULETA LR ROSCADA 1/2" - UND</t>
        </is>
      </c>
      <c r="I30" s="28" t="n">
        <v>1</v>
      </c>
      <c r="J30" s="29" t="n">
        <v>6352</v>
      </c>
      <c r="K30" s="29" t="n">
        <v>6352</v>
      </c>
      <c r="L30" s="16" t="inlineStr">
        <is>
          <t>IVA 19%</t>
        </is>
      </c>
      <c r="M30" s="29" t="n">
        <v>1207</v>
      </c>
      <c r="N30" s="29" t="n">
        <v>7559</v>
      </c>
      <c r="O30" s="16" t="inlineStr">
        <is>
          <t>JULIO CESAR DEAVILA MARTINEZ</t>
        </is>
      </c>
      <c r="P30" s="16" t="inlineStr">
        <is>
          <t>ELECTRICOS DEL VALLE SAS</t>
        </is>
      </c>
      <c r="Q30" s="16" t="inlineStr">
        <is>
          <t>URGENCIA</t>
        </is>
      </c>
      <c r="R30" s="16" t="inlineStr">
        <is>
          <t>TECHO</t>
        </is>
      </c>
      <c r="S30" s="16" t="inlineStr">
        <is>
          <t>EPE19137</t>
        </is>
      </c>
    </row>
    <row r="31">
      <c r="A31" s="30" t="n">
        <v>45972.58501157408</v>
      </c>
      <c r="B31" s="18" t="n">
        <v>1068</v>
      </c>
      <c r="C31" s="18" t="n">
        <v>830</v>
      </c>
      <c r="D31" s="18" t="inlineStr">
        <is>
          <t>CERRADA</t>
        </is>
      </c>
      <c r="E31" s="18" t="inlineStr">
        <is>
          <t>CAUSADA</t>
        </is>
      </c>
      <c r="F31" s="18" t="inlineStr">
        <is>
          <t>Electricos</t>
        </is>
      </c>
      <c r="G31" s="18" t="inlineStr"/>
      <c r="H31" s="18" t="inlineStr">
        <is>
          <t>JUEGO DE BUSHING 3" ZINC - S/M - UND</t>
        </is>
      </c>
      <c r="I31" s="31" t="n">
        <v>5</v>
      </c>
      <c r="J31" s="32" t="n">
        <v>8121.2</v>
      </c>
      <c r="K31" s="32" t="n">
        <v>40606</v>
      </c>
      <c r="L31" s="18" t="inlineStr">
        <is>
          <t>IVA 19%</t>
        </is>
      </c>
      <c r="M31" s="32" t="n">
        <v>7715</v>
      </c>
      <c r="N31" s="32" t="n">
        <v>48321</v>
      </c>
      <c r="O31" s="18" t="inlineStr">
        <is>
          <t>JULIO CESAR DEAVILA MARTINEZ</t>
        </is>
      </c>
      <c r="P31" s="18" t="inlineStr">
        <is>
          <t>ELECTRICOS DEL VALLE SAS</t>
        </is>
      </c>
      <c r="Q31" s="18" t="inlineStr">
        <is>
          <t>URGENCIA</t>
        </is>
      </c>
      <c r="R31" s="18" t="inlineStr">
        <is>
          <t>TECHO</t>
        </is>
      </c>
      <c r="S31" s="18" t="inlineStr">
        <is>
          <t>EPE19137</t>
        </is>
      </c>
    </row>
    <row r="32">
      <c r="A32" s="27" t="n">
        <v>45972.58501157408</v>
      </c>
      <c r="B32" s="16" t="n">
        <v>1068</v>
      </c>
      <c r="C32" s="16" t="n">
        <v>830</v>
      </c>
      <c r="D32" s="16" t="inlineStr">
        <is>
          <t>CERRADA</t>
        </is>
      </c>
      <c r="E32" s="16" t="inlineStr">
        <is>
          <t>CAUSADA</t>
        </is>
      </c>
      <c r="F32" s="16" t="inlineStr">
        <is>
          <t>Electricos</t>
        </is>
      </c>
      <c r="G32" s="16" t="inlineStr"/>
      <c r="H32" s="16" t="inlineStr">
        <is>
          <t>CONDULETA LR ROSCADA  1" - UND</t>
        </is>
      </c>
      <c r="I32" s="28" t="n">
        <v>1</v>
      </c>
      <c r="J32" s="29" t="n">
        <v>11276</v>
      </c>
      <c r="K32" s="29" t="n">
        <v>11276</v>
      </c>
      <c r="L32" s="16" t="inlineStr">
        <is>
          <t>IVA 19%</t>
        </is>
      </c>
      <c r="M32" s="29" t="n">
        <v>2142</v>
      </c>
      <c r="N32" s="29" t="n">
        <v>13418</v>
      </c>
      <c r="O32" s="16" t="inlineStr">
        <is>
          <t>JULIO CESAR DEAVILA MARTINEZ</t>
        </is>
      </c>
      <c r="P32" s="16" t="inlineStr">
        <is>
          <t>ELECTRICOS DEL VALLE SAS</t>
        </is>
      </c>
      <c r="Q32" s="16" t="inlineStr">
        <is>
          <t>URGENCIA</t>
        </is>
      </c>
      <c r="R32" s="16" t="inlineStr">
        <is>
          <t>TECHO</t>
        </is>
      </c>
      <c r="S32" s="16" t="inlineStr">
        <is>
          <t>EPE19137</t>
        </is>
      </c>
    </row>
    <row r="33">
      <c r="A33" s="30" t="n">
        <v>45972.58501157408</v>
      </c>
      <c r="B33" s="18" t="n">
        <v>1068</v>
      </c>
      <c r="C33" s="18" t="n">
        <v>830</v>
      </c>
      <c r="D33" s="18" t="inlineStr">
        <is>
          <t>CERRADA</t>
        </is>
      </c>
      <c r="E33" s="18" t="inlineStr">
        <is>
          <t>CAUSADA</t>
        </is>
      </c>
      <c r="F33" s="18" t="inlineStr">
        <is>
          <t>Electricos</t>
        </is>
      </c>
      <c r="G33" s="18" t="inlineStr"/>
      <c r="H33" s="18" t="inlineStr">
        <is>
          <t>CURVA 3" IMC GALVANIZADA - UND</t>
        </is>
      </c>
      <c r="I33" s="31" t="n">
        <v>4</v>
      </c>
      <c r="J33" s="32" t="n">
        <v>69263</v>
      </c>
      <c r="K33" s="32" t="n">
        <v>277052</v>
      </c>
      <c r="L33" s="18" t="inlineStr">
        <is>
          <t>IVA 19%</t>
        </is>
      </c>
      <c r="M33" s="32" t="n">
        <v>52640</v>
      </c>
      <c r="N33" s="32" t="n">
        <v>329692</v>
      </c>
      <c r="O33" s="18" t="inlineStr">
        <is>
          <t>JULIO CESAR DEAVILA MARTINEZ</t>
        </is>
      </c>
      <c r="P33" s="18" t="inlineStr">
        <is>
          <t>ELECTRICOS DEL VALLE SAS</t>
        </is>
      </c>
      <c r="Q33" s="18" t="inlineStr">
        <is>
          <t>URGENCIA</t>
        </is>
      </c>
      <c r="R33" s="18" t="inlineStr">
        <is>
          <t>TECHO</t>
        </is>
      </c>
      <c r="S33" s="18" t="inlineStr">
        <is>
          <t>EPE19137</t>
        </is>
      </c>
    </row>
    <row r="34">
      <c r="A34" s="27" t="n">
        <v>45972.58501157408</v>
      </c>
      <c r="B34" s="16" t="n">
        <v>1068</v>
      </c>
      <c r="C34" s="16" t="n">
        <v>830</v>
      </c>
      <c r="D34" s="16" t="inlineStr">
        <is>
          <t>CERRADA</t>
        </is>
      </c>
      <c r="E34" s="16" t="inlineStr">
        <is>
          <t>CAUSADA</t>
        </is>
      </c>
      <c r="F34" s="16" t="inlineStr">
        <is>
          <t>Electricos</t>
        </is>
      </c>
      <c r="G34" s="16" t="inlineStr"/>
      <c r="H34" s="16" t="inlineStr">
        <is>
          <t>CAJA EMPALME PLASTICA 31X31X16 CM IP65 - KOWET - UND</t>
        </is>
      </c>
      <c r="I34" s="28" t="n">
        <v>3</v>
      </c>
      <c r="J34" s="29" t="n">
        <v>119655.66</v>
      </c>
      <c r="K34" s="29" t="n">
        <v>358966.98</v>
      </c>
      <c r="L34" s="16" t="inlineStr">
        <is>
          <t>IVA 19%</t>
        </is>
      </c>
      <c r="M34" s="29" t="n">
        <v>68204</v>
      </c>
      <c r="N34" s="29" t="n">
        <v>427170.98</v>
      </c>
      <c r="O34" s="16" t="inlineStr">
        <is>
          <t>JULIO CESAR DEAVILA MARTINEZ</t>
        </is>
      </c>
      <c r="P34" s="16" t="inlineStr">
        <is>
          <t>ELECTRICOS DEL VALLE SAS</t>
        </is>
      </c>
      <c r="Q34" s="16" t="inlineStr">
        <is>
          <t>URGENCIA</t>
        </is>
      </c>
      <c r="R34" s="16" t="inlineStr">
        <is>
          <t>TECHO</t>
        </is>
      </c>
      <c r="S34" s="16" t="inlineStr">
        <is>
          <t>EPE19137</t>
        </is>
      </c>
    </row>
    <row r="35">
      <c r="A35" s="30" t="n">
        <v>45971.34440972222</v>
      </c>
      <c r="B35" s="18" t="n">
        <v>1051</v>
      </c>
      <c r="C35" s="18" t="n">
        <v>778</v>
      </c>
      <c r="D35" s="18" t="inlineStr">
        <is>
          <t>CERRADA</t>
        </is>
      </c>
      <c r="E35" s="18" t="inlineStr">
        <is>
          <t>PAGADA</t>
        </is>
      </c>
      <c r="F35" s="18" t="inlineStr">
        <is>
          <t>Servicios: viáticos</t>
        </is>
      </c>
      <c r="G35" s="18" t="inlineStr"/>
      <c r="H35" s="18" t="inlineStr">
        <is>
          <t>SERVICIO DE COMEDOR / RESTAURANTE - UND</t>
        </is>
      </c>
      <c r="I35" s="31" t="n">
        <v>1</v>
      </c>
      <c r="J35" s="32" t="n">
        <v>130000</v>
      </c>
      <c r="K35" s="32" t="n">
        <v>130000</v>
      </c>
      <c r="L35" s="18" t="inlineStr"/>
      <c r="M35" s="32" t="n">
        <v>0</v>
      </c>
      <c r="N35" s="32" t="n">
        <v>130000</v>
      </c>
      <c r="O35" s="18" t="inlineStr">
        <is>
          <t>JULIO CESAR DEAVILA MARTINEZ</t>
        </is>
      </c>
      <c r="P35" s="18" t="inlineStr">
        <is>
          <t>NEXORA SERVICIOS SAS</t>
        </is>
      </c>
      <c r="Q35" s="18" t="inlineStr">
        <is>
          <t>PLANEADA</t>
        </is>
      </c>
      <c r="R35" s="18" t="inlineStr">
        <is>
          <t>TECHO</t>
        </is>
      </c>
      <c r="S35" s="18" t="inlineStr">
        <is>
          <t>FE-23 - CUENTA DE COBRO 03</t>
        </is>
      </c>
    </row>
    <row r="36">
      <c r="A36" s="27" t="n">
        <v>45965.50883101852</v>
      </c>
      <c r="B36" s="16" t="n">
        <v>1006</v>
      </c>
      <c r="C36" s="16" t="n">
        <v>741</v>
      </c>
      <c r="D36" s="16" t="inlineStr">
        <is>
          <t>CERRADA</t>
        </is>
      </c>
      <c r="E36" s="16" t="inlineStr">
        <is>
          <t>PAGADA</t>
        </is>
      </c>
      <c r="F36" s="16" t="inlineStr">
        <is>
          <t>Servicios: Subcontratos</t>
        </is>
      </c>
      <c r="G36" s="16" t="inlineStr"/>
      <c r="H36" s="16" t="inlineStr">
        <is>
          <t>ALQUILER PLUMA GRUA CON GUAYA DE 60 A 100M CON BANDEJA - UND</t>
        </is>
      </c>
      <c r="I36" s="28" t="n">
        <v>6</v>
      </c>
      <c r="J36" s="29" t="n">
        <v>48600</v>
      </c>
      <c r="K36" s="29" t="n">
        <v>291600</v>
      </c>
      <c r="L36" s="16" t="inlineStr">
        <is>
          <t>IVA 19%</t>
        </is>
      </c>
      <c r="M36" s="29" t="n">
        <v>55404</v>
      </c>
      <c r="N36" s="29" t="n">
        <v>347004</v>
      </c>
      <c r="O36" s="16" t="inlineStr">
        <is>
          <t>JULIO CESAR DEAVILA MARTINEZ</t>
        </is>
      </c>
      <c r="P36" s="16" t="inlineStr">
        <is>
          <t>CENTRALQUIPOS S.A.S. BIC</t>
        </is>
      </c>
      <c r="Q36" s="16" t="inlineStr">
        <is>
          <t>EMERGENCIA</t>
        </is>
      </c>
      <c r="R36" s="16" t="inlineStr">
        <is>
          <t>TECHO</t>
        </is>
      </c>
      <c r="S36" s="16" t="inlineStr">
        <is>
          <t>COTIZACION</t>
        </is>
      </c>
    </row>
    <row r="37">
      <c r="A37" s="30" t="n">
        <v>45960.50262731482</v>
      </c>
      <c r="B37" s="18" t="n">
        <v>982</v>
      </c>
      <c r="C37" s="18" t="n">
        <v>742</v>
      </c>
      <c r="D37" s="18" t="inlineStr">
        <is>
          <t>CERRADA</t>
        </is>
      </c>
      <c r="E37" s="18" t="inlineStr">
        <is>
          <t>PAGADA</t>
        </is>
      </c>
      <c r="F37" s="18" t="inlineStr">
        <is>
          <t>Obra Civil</t>
        </is>
      </c>
      <c r="G37" s="18" t="inlineStr"/>
      <c r="H37" s="18" t="inlineStr">
        <is>
          <t>CHAZO EXPANSIVO 3/8" X 3"  - UND</t>
        </is>
      </c>
      <c r="I37" s="31" t="n">
        <v>520</v>
      </c>
      <c r="J37" s="32" t="n">
        <v>600</v>
      </c>
      <c r="K37" s="32" t="n">
        <v>312000</v>
      </c>
      <c r="L37" s="18" t="inlineStr">
        <is>
          <t>IVA 19%</t>
        </is>
      </c>
      <c r="M37" s="32" t="n">
        <v>59280</v>
      </c>
      <c r="N37" s="32" t="n">
        <v>371280</v>
      </c>
      <c r="O37" s="18" t="inlineStr">
        <is>
          <t>JULIO CESAR DEAVILA MARTINEZ</t>
        </is>
      </c>
      <c r="P37" s="18" t="inlineStr">
        <is>
          <t>FERREPLASTICOS CALI S.A.S</t>
        </is>
      </c>
      <c r="Q37" s="18" t="inlineStr">
        <is>
          <t>EMERGENCIA</t>
        </is>
      </c>
      <c r="R37" s="18" t="inlineStr">
        <is>
          <t>TECHO</t>
        </is>
      </c>
      <c r="S37" s="18" t="inlineStr">
        <is>
          <t>EC 135230</t>
        </is>
      </c>
    </row>
    <row r="38">
      <c r="A38" s="27" t="n">
        <v>45960.50262731482</v>
      </c>
      <c r="B38" s="16" t="n">
        <v>982</v>
      </c>
      <c r="C38" s="16" t="n">
        <v>742</v>
      </c>
      <c r="D38" s="16" t="inlineStr">
        <is>
          <t>CERRADA</t>
        </is>
      </c>
      <c r="E38" s="16" t="inlineStr">
        <is>
          <t>PAGADA</t>
        </is>
      </c>
      <c r="F38" s="16" t="inlineStr">
        <is>
          <t>Obra Civil</t>
        </is>
      </c>
      <c r="G38" s="16" t="inlineStr"/>
      <c r="H38" s="16" t="inlineStr">
        <is>
          <t>SUPERBOARD ESTÁNDAR 1220X2440X8MM - UND</t>
        </is>
      </c>
      <c r="I38" s="28" t="n">
        <v>2</v>
      </c>
      <c r="J38" s="29" t="n">
        <v>80000</v>
      </c>
      <c r="K38" s="29" t="n">
        <v>160000</v>
      </c>
      <c r="L38" s="16" t="inlineStr">
        <is>
          <t>IVA 19%</t>
        </is>
      </c>
      <c r="M38" s="29" t="n">
        <v>30400</v>
      </c>
      <c r="N38" s="29" t="n">
        <v>190400</v>
      </c>
      <c r="O38" s="16" t="inlineStr">
        <is>
          <t>JULIO CESAR DEAVILA MARTINEZ</t>
        </is>
      </c>
      <c r="P38" s="16" t="inlineStr">
        <is>
          <t>FERREPLASTICOS CALI S.A.S</t>
        </is>
      </c>
      <c r="Q38" s="16" t="inlineStr">
        <is>
          <t>EMERGENCIA</t>
        </is>
      </c>
      <c r="R38" s="16" t="inlineStr">
        <is>
          <t>TECHO</t>
        </is>
      </c>
      <c r="S38" s="16" t="inlineStr">
        <is>
          <t>EC 135230</t>
        </is>
      </c>
    </row>
    <row r="39">
      <c r="A39" s="30" t="n">
        <v>45959.44464120371</v>
      </c>
      <c r="B39" s="18" t="n">
        <v>963</v>
      </c>
      <c r="C39" s="18" t="n">
        <v>736</v>
      </c>
      <c r="D39" s="18" t="inlineStr">
        <is>
          <t>CERRADA</t>
        </is>
      </c>
      <c r="E39" s="18" t="inlineStr">
        <is>
          <t>PAGADA</t>
        </is>
      </c>
      <c r="F39" s="18" t="inlineStr">
        <is>
          <t>Servicios: Legalización</t>
        </is>
      </c>
      <c r="G39" s="18" t="inlineStr"/>
      <c r="H39" s="18" t="inlineStr">
        <is>
          <t>CERTIFICADO RETIE - UND</t>
        </is>
      </c>
      <c r="I39" s="31" t="n">
        <v>1</v>
      </c>
      <c r="J39" s="32" t="n">
        <v>3600000</v>
      </c>
      <c r="K39" s="32" t="n">
        <v>3600000</v>
      </c>
      <c r="L39" s="18" t="inlineStr"/>
      <c r="M39" s="32" t="n">
        <v>0</v>
      </c>
      <c r="N39" s="32" t="n">
        <v>3600000</v>
      </c>
      <c r="O39" s="18" t="inlineStr">
        <is>
          <t>JULIO CESAR DEAVILA MARTINEZ</t>
        </is>
      </c>
      <c r="P39" s="18" t="inlineStr">
        <is>
          <t>CALIDAD DE ENERGIA SAS</t>
        </is>
      </c>
      <c r="Q39" s="18" t="inlineStr">
        <is>
          <t>PLANEADA</t>
        </is>
      </c>
      <c r="R39" s="18" t="inlineStr">
        <is>
          <t>TECHO</t>
        </is>
      </c>
      <c r="S39" s="18" t="inlineStr">
        <is>
          <t>COTIZACION 22072</t>
        </is>
      </c>
    </row>
    <row r="40">
      <c r="A40" s="27" t="n">
        <v>45954.50319444444</v>
      </c>
      <c r="B40" s="16" t="n">
        <v>920</v>
      </c>
      <c r="C40" s="16" t="n">
        <v>721</v>
      </c>
      <c r="D40" s="16" t="inlineStr">
        <is>
          <t>CERRADA</t>
        </is>
      </c>
      <c r="E40" s="16" t="inlineStr">
        <is>
          <t>PAGADA</t>
        </is>
      </c>
      <c r="F40" s="16" t="inlineStr">
        <is>
          <t>Servicios: viáticos</t>
        </is>
      </c>
      <c r="G40" s="16" t="inlineStr"/>
      <c r="H40" s="16" t="inlineStr">
        <is>
          <t>SERVICIO DE RESTAURANTE - UND</t>
        </is>
      </c>
      <c r="I40" s="28" t="n">
        <v>20</v>
      </c>
      <c r="J40" s="29" t="n">
        <v>35000</v>
      </c>
      <c r="K40" s="29" t="n">
        <v>700000</v>
      </c>
      <c r="L40" s="16" t="inlineStr">
        <is>
          <t>IVA 19%</t>
        </is>
      </c>
      <c r="M40" s="29" t="n">
        <v>133000</v>
      </c>
      <c r="N40" s="29" t="n">
        <v>833000</v>
      </c>
      <c r="O40" s="16" t="inlineStr">
        <is>
          <t>JULIO CESAR DEAVILA MARTINEZ</t>
        </is>
      </c>
      <c r="P40" s="16" t="inlineStr">
        <is>
          <t>TEXWORKS S.A.S.</t>
        </is>
      </c>
      <c r="Q40" s="16" t="inlineStr">
        <is>
          <t>EMERGENCIA</t>
        </is>
      </c>
      <c r="R40" s="16" t="inlineStr">
        <is>
          <t>TECHO</t>
        </is>
      </c>
      <c r="S40" s="16" t="inlineStr">
        <is>
          <t>COTIZACION</t>
        </is>
      </c>
    </row>
    <row r="41">
      <c r="A41" s="30" t="n">
        <v>45954.50319444444</v>
      </c>
      <c r="B41" s="18" t="n">
        <v>920</v>
      </c>
      <c r="C41" s="18" t="n">
        <v>721</v>
      </c>
      <c r="D41" s="18" t="inlineStr">
        <is>
          <t>CERRADA</t>
        </is>
      </c>
      <c r="E41" s="18" t="inlineStr">
        <is>
          <t>PAGADA</t>
        </is>
      </c>
      <c r="F41" s="18" t="inlineStr">
        <is>
          <t>Servicios: viáticos</t>
        </is>
      </c>
      <c r="G41" s="18" t="inlineStr"/>
      <c r="H41" s="18" t="inlineStr">
        <is>
          <t>SERVICIO DE HOTEL - UND</t>
        </is>
      </c>
      <c r="I41" s="31" t="n">
        <v>20</v>
      </c>
      <c r="J41" s="32" t="n">
        <v>60000</v>
      </c>
      <c r="K41" s="32" t="n">
        <v>1200000</v>
      </c>
      <c r="L41" s="18" t="inlineStr">
        <is>
          <t>IVA 19%</t>
        </is>
      </c>
      <c r="M41" s="32" t="n">
        <v>228000</v>
      </c>
      <c r="N41" s="32" t="n">
        <v>1428000</v>
      </c>
      <c r="O41" s="18" t="inlineStr">
        <is>
          <t>JULIO CESAR DEAVILA MARTINEZ</t>
        </is>
      </c>
      <c r="P41" s="18" t="inlineStr">
        <is>
          <t>TEXWORKS S.A.S.</t>
        </is>
      </c>
      <c r="Q41" s="18" t="inlineStr">
        <is>
          <t>EMERGENCIA</t>
        </is>
      </c>
      <c r="R41" s="18" t="inlineStr">
        <is>
          <t>TECHO</t>
        </is>
      </c>
      <c r="S41" s="18" t="inlineStr">
        <is>
          <t>COTIZACION</t>
        </is>
      </c>
    </row>
    <row r="42">
      <c r="A42" s="27" t="n">
        <v>45954.34905092593</v>
      </c>
      <c r="B42" s="16" t="n">
        <v>918</v>
      </c>
      <c r="C42" s="16" t="n">
        <v>714</v>
      </c>
      <c r="D42" s="16" t="inlineStr">
        <is>
          <t>CERRADA</t>
        </is>
      </c>
      <c r="E42" s="16" t="inlineStr">
        <is>
          <t>PAGADA</t>
        </is>
      </c>
      <c r="F42" s="16" t="inlineStr">
        <is>
          <t>Servicios: Subcontratos</t>
        </is>
      </c>
      <c r="G42" s="16" t="inlineStr"/>
      <c r="H42" s="16" t="inlineStr">
        <is>
          <t>ALQUILER PLUMA GRUA CON GUAYA DE 60 A 100M CON BANDEJA - UND</t>
        </is>
      </c>
      <c r="I42" s="28" t="n">
        <v>12</v>
      </c>
      <c r="J42" s="29" t="n">
        <v>48600</v>
      </c>
      <c r="K42" s="29" t="n">
        <v>583200</v>
      </c>
      <c r="L42" s="16" t="inlineStr">
        <is>
          <t>IVA 19%</t>
        </is>
      </c>
      <c r="M42" s="29" t="n">
        <v>110808</v>
      </c>
      <c r="N42" s="29" t="n">
        <v>694008</v>
      </c>
      <c r="O42" s="16" t="inlineStr">
        <is>
          <t>JULIO CESAR DEAVILA MARTINEZ</t>
        </is>
      </c>
      <c r="P42" s="16" t="inlineStr">
        <is>
          <t>CENTRALQUIPOS S.A.S. BIC</t>
        </is>
      </c>
      <c r="Q42" s="16" t="inlineStr">
        <is>
          <t>EMERGENCIA</t>
        </is>
      </c>
      <c r="R42" s="16" t="inlineStr">
        <is>
          <t>TECHO</t>
        </is>
      </c>
      <c r="S42" s="16" t="inlineStr">
        <is>
          <t>c306964e</t>
        </is>
      </c>
    </row>
    <row r="43">
      <c r="A43" s="30" t="n">
        <v>45954.3484837963</v>
      </c>
      <c r="B43" s="18" t="n">
        <v>917</v>
      </c>
      <c r="C43" s="18" t="n">
        <v>712</v>
      </c>
      <c r="D43" s="18" t="inlineStr">
        <is>
          <t>CERRADA</t>
        </is>
      </c>
      <c r="E43" s="18" t="inlineStr">
        <is>
          <t>PAGADA</t>
        </is>
      </c>
      <c r="F43" s="18" t="inlineStr">
        <is>
          <t>Servicios: viáticos</t>
        </is>
      </c>
      <c r="G43" s="18" t="inlineStr"/>
      <c r="H43" s="18" t="inlineStr">
        <is>
          <t>SERVICIO DE RESTAURANTE - UND</t>
        </is>
      </c>
      <c r="I43" s="31" t="n">
        <v>10</v>
      </c>
      <c r="J43" s="32" t="n">
        <v>13000</v>
      </c>
      <c r="K43" s="32" t="n">
        <v>130000</v>
      </c>
      <c r="L43" s="18" t="inlineStr"/>
      <c r="M43" s="32" t="n">
        <v>0</v>
      </c>
      <c r="N43" s="32" t="n">
        <v>130000</v>
      </c>
      <c r="O43" s="18" t="inlineStr">
        <is>
          <t>JULIO CESAR DEAVILA MARTINEZ</t>
        </is>
      </c>
      <c r="P43" s="18" t="inlineStr">
        <is>
          <t>NEXORA SERVICIOS SAS</t>
        </is>
      </c>
      <c r="Q43" s="18" t="inlineStr">
        <is>
          <t>EMERGENCIA</t>
        </is>
      </c>
      <c r="R43" s="18" t="inlineStr">
        <is>
          <t>TECHO</t>
        </is>
      </c>
      <c r="S43" s="18" t="inlineStr">
        <is>
          <t>CUENTA DE COBRO 2</t>
        </is>
      </c>
    </row>
    <row r="44">
      <c r="A44" s="27" t="n">
        <v>45946.41174768518</v>
      </c>
      <c r="B44" s="16" t="n">
        <v>813</v>
      </c>
      <c r="C44" s="16" t="n">
        <v>624</v>
      </c>
      <c r="D44" s="16" t="inlineStr">
        <is>
          <t>CERRADA</t>
        </is>
      </c>
      <c r="E44" s="16" t="inlineStr">
        <is>
          <t>PAGADA</t>
        </is>
      </c>
      <c r="F44" s="16" t="inlineStr">
        <is>
          <t>Servicios: Fletes</t>
        </is>
      </c>
      <c r="G44" s="16" t="inlineStr"/>
      <c r="H44" s="16" t="inlineStr">
        <is>
          <t>FLETE - UND</t>
        </is>
      </c>
      <c r="I44" s="28" t="n">
        <v>1</v>
      </c>
      <c r="J44" s="29" t="n">
        <v>37193</v>
      </c>
      <c r="K44" s="29" t="n">
        <v>37193</v>
      </c>
      <c r="L44" s="16" t="inlineStr">
        <is>
          <t>IVA 19%</t>
        </is>
      </c>
      <c r="M44" s="29" t="n">
        <v>7067</v>
      </c>
      <c r="N44" s="29" t="n">
        <v>44260</v>
      </c>
      <c r="O44" s="16" t="inlineStr">
        <is>
          <t>JULIO CESAR DEAVILA MARTINEZ</t>
        </is>
      </c>
      <c r="P44" s="16" t="inlineStr">
        <is>
          <t>INDUSTRIAS REBRA SAS</t>
        </is>
      </c>
      <c r="Q44" s="16" t="inlineStr">
        <is>
          <t>EMERGENCIA</t>
        </is>
      </c>
      <c r="R44" s="16" t="inlineStr">
        <is>
          <t>TECHO</t>
        </is>
      </c>
      <c r="S44" s="16" t="inlineStr">
        <is>
          <t>R13279</t>
        </is>
      </c>
    </row>
    <row r="45">
      <c r="A45" s="30" t="n">
        <v>45944.36060185185</v>
      </c>
      <c r="B45" s="18" t="n">
        <v>761</v>
      </c>
      <c r="C45" s="18" t="n">
        <v>564</v>
      </c>
      <c r="D45" s="18" t="inlineStr">
        <is>
          <t>CERRADA</t>
        </is>
      </c>
      <c r="E45" s="18" t="inlineStr">
        <is>
          <t>PAGADA</t>
        </is>
      </c>
      <c r="F45" s="18" t="inlineStr">
        <is>
          <t>Servicios: viáticos</t>
        </is>
      </c>
      <c r="G45" s="18" t="inlineStr"/>
      <c r="H45" s="18" t="inlineStr">
        <is>
          <t>SERVICIO DE COMEDOR / RESTAURANTE - UND</t>
        </is>
      </c>
      <c r="I45" s="31" t="n">
        <v>1</v>
      </c>
      <c r="J45" s="32" t="n">
        <v>130000</v>
      </c>
      <c r="K45" s="32" t="n">
        <v>130000</v>
      </c>
      <c r="L45" s="18" t="inlineStr"/>
      <c r="M45" s="32" t="n">
        <v>0</v>
      </c>
      <c r="N45" s="32" t="n">
        <v>130000</v>
      </c>
      <c r="O45" s="18" t="inlineStr">
        <is>
          <t>JULIO CESAR DEAVILA MARTINEZ</t>
        </is>
      </c>
      <c r="P45" s="18" t="inlineStr">
        <is>
          <t>NEXORA SERVICIOS SAS</t>
        </is>
      </c>
      <c r="Q45" s="18" t="inlineStr">
        <is>
          <t>PLANEADA</t>
        </is>
      </c>
      <c r="R45" s="18" t="inlineStr">
        <is>
          <t>TECHO</t>
        </is>
      </c>
      <c r="S45" s="18" t="inlineStr">
        <is>
          <t>CUENTA DE COBRO 1</t>
        </is>
      </c>
    </row>
    <row r="46">
      <c r="A46" s="27" t="n">
        <v>45944.36032407408</v>
      </c>
      <c r="B46" s="16" t="n">
        <v>760</v>
      </c>
      <c r="C46" s="16" t="n">
        <v>561</v>
      </c>
      <c r="D46" s="16" t="inlineStr">
        <is>
          <t>CERRADA</t>
        </is>
      </c>
      <c r="E46" s="16" t="inlineStr">
        <is>
          <t>PAGADA</t>
        </is>
      </c>
      <c r="F46" s="16" t="inlineStr">
        <is>
          <t>Obra Civil</t>
        </is>
      </c>
      <c r="G46" s="16" t="inlineStr"/>
      <c r="H46" s="16" t="inlineStr">
        <is>
          <t>ALQUILER MEZCLADORA X DÍA - UND</t>
        </is>
      </c>
      <c r="I46" s="28" t="n">
        <v>3</v>
      </c>
      <c r="J46" s="29" t="n">
        <v>52300</v>
      </c>
      <c r="K46" s="29" t="n">
        <v>156900</v>
      </c>
      <c r="L46" s="16" t="inlineStr">
        <is>
          <t>IVA 19%</t>
        </is>
      </c>
      <c r="M46" s="29" t="n">
        <v>29811</v>
      </c>
      <c r="N46" s="29" t="n">
        <v>186711</v>
      </c>
      <c r="O46" s="16" t="inlineStr">
        <is>
          <t>JULIO CESAR DEAVILA MARTINEZ</t>
        </is>
      </c>
      <c r="P46" s="16" t="inlineStr">
        <is>
          <t>CENTRALQUIPOS S.A.S. BIC</t>
        </is>
      </c>
      <c r="Q46" s="16" t="inlineStr">
        <is>
          <t>PLANEADA</t>
        </is>
      </c>
      <c r="R46" s="16" t="inlineStr">
        <is>
          <t>TECHO</t>
        </is>
      </c>
      <c r="S46" s="16" t="inlineStr">
        <is>
          <t>COTIZACION</t>
        </is>
      </c>
    </row>
    <row r="47">
      <c r="A47" s="30" t="n">
        <v>45944.35944444445</v>
      </c>
      <c r="B47" s="18" t="n">
        <v>759</v>
      </c>
      <c r="C47" s="18" t="n">
        <v>596</v>
      </c>
      <c r="D47" s="18" t="inlineStr">
        <is>
          <t>CERRADA</t>
        </is>
      </c>
      <c r="E47" s="18" t="inlineStr">
        <is>
          <t>PAGADA</t>
        </is>
      </c>
      <c r="F47" s="18" t="inlineStr">
        <is>
          <t>Servicios: viáticos</t>
        </is>
      </c>
      <c r="G47" s="18" t="inlineStr"/>
      <c r="H47" s="18" t="inlineStr">
        <is>
          <t>SERVICIO DE RESTAURANTE - UND</t>
        </is>
      </c>
      <c r="I47" s="31" t="n">
        <v>22</v>
      </c>
      <c r="J47" s="32" t="n">
        <v>35000</v>
      </c>
      <c r="K47" s="32" t="n">
        <v>770000</v>
      </c>
      <c r="L47" s="18" t="inlineStr">
        <is>
          <t>IVA 19%</t>
        </is>
      </c>
      <c r="M47" s="32" t="n">
        <v>146300</v>
      </c>
      <c r="N47" s="32" t="n">
        <v>916300</v>
      </c>
      <c r="O47" s="18" t="inlineStr">
        <is>
          <t>JULIO CESAR DEAVILA MARTINEZ</t>
        </is>
      </c>
      <c r="P47" s="18" t="inlineStr">
        <is>
          <t>TEXWORKS S.A.S.</t>
        </is>
      </c>
      <c r="Q47" s="18" t="inlineStr">
        <is>
          <t>EMERGENCIA</t>
        </is>
      </c>
      <c r="R47" s="18" t="inlineStr">
        <is>
          <t>TECHO</t>
        </is>
      </c>
      <c r="S47" s="18" t="inlineStr">
        <is>
          <t>TEXWORKS</t>
        </is>
      </c>
    </row>
    <row r="48">
      <c r="A48" s="27" t="n">
        <v>45944.35944444445</v>
      </c>
      <c r="B48" s="16" t="n">
        <v>759</v>
      </c>
      <c r="C48" s="16" t="n">
        <v>596</v>
      </c>
      <c r="D48" s="16" t="inlineStr">
        <is>
          <t>CERRADA</t>
        </is>
      </c>
      <c r="E48" s="16" t="inlineStr">
        <is>
          <t>PAGADA</t>
        </is>
      </c>
      <c r="F48" s="16" t="inlineStr">
        <is>
          <t>Servicios: viáticos</t>
        </is>
      </c>
      <c r="G48" s="16" t="inlineStr"/>
      <c r="H48" s="16" t="inlineStr">
        <is>
          <t>SERVICIO DE HOTEL - UND</t>
        </is>
      </c>
      <c r="I48" s="28" t="n">
        <v>22</v>
      </c>
      <c r="J48" s="29" t="n">
        <v>60000</v>
      </c>
      <c r="K48" s="29" t="n">
        <v>1320000</v>
      </c>
      <c r="L48" s="16" t="inlineStr">
        <is>
          <t>IVA 19%</t>
        </is>
      </c>
      <c r="M48" s="29" t="n">
        <v>250800</v>
      </c>
      <c r="N48" s="29" t="n">
        <v>1570800</v>
      </c>
      <c r="O48" s="16" t="inlineStr">
        <is>
          <t>JULIO CESAR DEAVILA MARTINEZ</t>
        </is>
      </c>
      <c r="P48" s="16" t="inlineStr">
        <is>
          <t>TEXWORKS S.A.S.</t>
        </is>
      </c>
      <c r="Q48" s="16" t="inlineStr">
        <is>
          <t>EMERGENCIA</t>
        </is>
      </c>
      <c r="R48" s="16" t="inlineStr">
        <is>
          <t>TECHO</t>
        </is>
      </c>
      <c r="S48" s="16" t="inlineStr">
        <is>
          <t>TEXWORKS</t>
        </is>
      </c>
    </row>
    <row r="49">
      <c r="A49" s="30" t="n">
        <v>45936.36054398148</v>
      </c>
      <c r="B49" s="18" t="n">
        <v>672</v>
      </c>
      <c r="C49" s="18" t="n">
        <v>521</v>
      </c>
      <c r="D49" s="18" t="inlineStr">
        <is>
          <t>CERRADA</t>
        </is>
      </c>
      <c r="E49" s="18" t="inlineStr">
        <is>
          <t>PAGADA</t>
        </is>
      </c>
      <c r="F49" s="18" t="inlineStr">
        <is>
          <t>Servicios: Fletes</t>
        </is>
      </c>
      <c r="G49" s="18" t="inlineStr"/>
      <c r="H49" s="18" t="inlineStr">
        <is>
          <t>FLETE - UND</t>
        </is>
      </c>
      <c r="I49" s="31" t="n">
        <v>1</v>
      </c>
      <c r="J49" s="32" t="n">
        <v>285000</v>
      </c>
      <c r="K49" s="32" t="n">
        <v>285000</v>
      </c>
      <c r="L49" s="18" t="inlineStr"/>
      <c r="M49" s="32" t="n">
        <v>0</v>
      </c>
      <c r="N49" s="32" t="n">
        <v>285000</v>
      </c>
      <c r="O49" s="18" t="inlineStr">
        <is>
          <t>JULIO CESAR DEAVILA MARTINEZ</t>
        </is>
      </c>
      <c r="P49" s="18" t="inlineStr">
        <is>
          <t>VAIRON ALEJANDRO URBANO ORTEGA</t>
        </is>
      </c>
      <c r="Q49" s="18" t="inlineStr">
        <is>
          <t>PLANEADA</t>
        </is>
      </c>
      <c r="R49" s="18" t="inlineStr">
        <is>
          <t>TECHO</t>
        </is>
      </c>
      <c r="S49" s="18" t="inlineStr">
        <is>
          <t>Cuenta de cobro 1</t>
        </is>
      </c>
    </row>
    <row r="50">
      <c r="A50" s="27" t="n">
        <v>45931.36528935185</v>
      </c>
      <c r="B50" s="16" t="n">
        <v>632</v>
      </c>
      <c r="C50" s="16" t="n">
        <v>496</v>
      </c>
      <c r="D50" s="16" t="inlineStr">
        <is>
          <t>CERRADA</t>
        </is>
      </c>
      <c r="E50" s="16" t="inlineStr">
        <is>
          <t>PAGADA</t>
        </is>
      </c>
      <c r="F50" s="16" t="inlineStr">
        <is>
          <t>Equipos</t>
        </is>
      </c>
      <c r="G50" s="16" t="inlineStr"/>
      <c r="H50" s="16" t="inlineStr">
        <is>
          <t>MODEM ROUTER - UND</t>
        </is>
      </c>
      <c r="I50" s="28" t="n">
        <v>1</v>
      </c>
      <c r="J50" s="29" t="n">
        <v>504202</v>
      </c>
      <c r="K50" s="29" t="n">
        <v>504202</v>
      </c>
      <c r="L50" s="16" t="inlineStr">
        <is>
          <t>IVA 19%</t>
        </is>
      </c>
      <c r="M50" s="29" t="n">
        <v>95798</v>
      </c>
      <c r="N50" s="29" t="n">
        <v>600000</v>
      </c>
      <c r="O50" s="16" t="inlineStr">
        <is>
          <t>JULIO CESAR DEAVILA MARTINEZ</t>
        </is>
      </c>
      <c r="P50" s="16" t="inlineStr">
        <is>
          <t>NESTOR ALBERTO RODRIGUEZ MARTINEZ (FENIX TEC)</t>
        </is>
      </c>
      <c r="Q50" s="16" t="inlineStr">
        <is>
          <t>PLANEADA</t>
        </is>
      </c>
      <c r="R50" s="16" t="inlineStr">
        <is>
          <t>TECHO</t>
        </is>
      </c>
      <c r="S50" s="16" t="inlineStr">
        <is>
          <t>COT612</t>
        </is>
      </c>
    </row>
    <row r="51">
      <c r="A51" s="30" t="n">
        <v>45931.36475694444</v>
      </c>
      <c r="B51" s="18" t="n">
        <v>631</v>
      </c>
      <c r="C51" s="18" t="n">
        <v>490</v>
      </c>
      <c r="D51" s="18" t="inlineStr">
        <is>
          <t>CERRADA</t>
        </is>
      </c>
      <c r="E51" s="18" t="inlineStr">
        <is>
          <t>PAGADA</t>
        </is>
      </c>
      <c r="F51" s="18" t="inlineStr">
        <is>
          <t>Obra Civil</t>
        </is>
      </c>
      <c r="G51" s="18" t="inlineStr"/>
      <c r="H51" s="18" t="inlineStr">
        <is>
          <t>ESTRUCTURA PARA MONTAJE DE WINCHER - UND</t>
        </is>
      </c>
      <c r="I51" s="31" t="n">
        <v>1</v>
      </c>
      <c r="J51" s="32" t="n">
        <v>700000</v>
      </c>
      <c r="K51" s="32" t="n">
        <v>700000</v>
      </c>
      <c r="L51" s="18" t="inlineStr"/>
      <c r="M51" s="32" t="n">
        <v>0</v>
      </c>
      <c r="N51" s="32" t="n">
        <v>700000</v>
      </c>
      <c r="O51" s="18" t="inlineStr">
        <is>
          <t>JULIO CESAR DEAVILA MARTINEZ</t>
        </is>
      </c>
      <c r="P51" s="18" t="inlineStr">
        <is>
          <t>MILTON FABIAN BRAVO ARGOTE</t>
        </is>
      </c>
      <c r="Q51" s="18" t="inlineStr">
        <is>
          <t>PLANEADA</t>
        </is>
      </c>
      <c r="R51" s="18" t="inlineStr">
        <is>
          <t>TECHO</t>
        </is>
      </c>
      <c r="S51" s="18" t="inlineStr">
        <is>
          <t>COTIZACION 002</t>
        </is>
      </c>
    </row>
    <row r="52">
      <c r="A52" s="27" t="n">
        <v>45931.36378472222</v>
      </c>
      <c r="B52" s="16" t="n">
        <v>630</v>
      </c>
      <c r="C52" s="16" t="n">
        <v>494</v>
      </c>
      <c r="D52" s="16" t="inlineStr">
        <is>
          <t>CERRADA</t>
        </is>
      </c>
      <c r="E52" s="16" t="inlineStr">
        <is>
          <t>PAGADA</t>
        </is>
      </c>
      <c r="F52" s="16" t="inlineStr">
        <is>
          <t>Electricos</t>
        </is>
      </c>
      <c r="G52" s="16" t="inlineStr"/>
      <c r="H52" s="16" t="inlineStr">
        <is>
          <t>-</t>
        </is>
      </c>
      <c r="I52" s="28" t="n">
        <v>50</v>
      </c>
      <c r="J52" s="29" t="n">
        <v>61.6</v>
      </c>
      <c r="K52" s="29" t="n">
        <v>3080</v>
      </c>
      <c r="L52" s="16" t="inlineStr">
        <is>
          <t>IVA 19%</t>
        </is>
      </c>
      <c r="M52" s="29" t="n">
        <v>585</v>
      </c>
      <c r="N52" s="29" t="n">
        <v>3665</v>
      </c>
      <c r="O52" s="16" t="inlineStr">
        <is>
          <t>JULIO CESAR DEAVILA MARTINEZ</t>
        </is>
      </c>
      <c r="P52" s="16" t="inlineStr">
        <is>
          <t>ELECTRICOS DEL VALLE SAS</t>
        </is>
      </c>
      <c r="Q52" s="16" t="inlineStr">
        <is>
          <t>PLANEADA</t>
        </is>
      </c>
      <c r="R52" s="16" t="inlineStr">
        <is>
          <t>TECHO</t>
        </is>
      </c>
      <c r="S52" s="16" t="inlineStr">
        <is>
          <t>EPE18185 EPE18081 EPE17909</t>
        </is>
      </c>
    </row>
    <row r="53">
      <c r="A53" s="30" t="n">
        <v>45931.36378472222</v>
      </c>
      <c r="B53" s="18" t="n">
        <v>630</v>
      </c>
      <c r="C53" s="18" t="n">
        <v>494</v>
      </c>
      <c r="D53" s="18" t="inlineStr">
        <is>
          <t>CERRADA</t>
        </is>
      </c>
      <c r="E53" s="18" t="inlineStr">
        <is>
          <t>PAGADA</t>
        </is>
      </c>
      <c r="F53" s="18" t="inlineStr">
        <is>
          <t>Electricos</t>
        </is>
      </c>
      <c r="G53" s="18" t="inlineStr"/>
      <c r="H53" s="18" t="inlineStr">
        <is>
          <t>UNION 3/4" IMC - UND</t>
        </is>
      </c>
      <c r="I53" s="31" t="n">
        <v>12</v>
      </c>
      <c r="J53" s="32" t="n">
        <v>664.5</v>
      </c>
      <c r="K53" s="32" t="n">
        <v>7974</v>
      </c>
      <c r="L53" s="18" t="inlineStr">
        <is>
          <t>IVA 19%</t>
        </is>
      </c>
      <c r="M53" s="32" t="n">
        <v>1515</v>
      </c>
      <c r="N53" s="32" t="n">
        <v>9489</v>
      </c>
      <c r="O53" s="18" t="inlineStr">
        <is>
          <t>JULIO CESAR DEAVILA MARTINEZ</t>
        </is>
      </c>
      <c r="P53" s="18" t="inlineStr">
        <is>
          <t>ELECTRICOS DEL VALLE SAS</t>
        </is>
      </c>
      <c r="Q53" s="18" t="inlineStr">
        <is>
          <t>PLANEADA</t>
        </is>
      </c>
      <c r="R53" s="18" t="inlineStr">
        <is>
          <t>TECHO</t>
        </is>
      </c>
      <c r="S53" s="18" t="inlineStr">
        <is>
          <t>EPE18185 EPE18081 EPE17909</t>
        </is>
      </c>
    </row>
    <row r="54">
      <c r="A54" s="27" t="n">
        <v>45931.36378472222</v>
      </c>
      <c r="B54" s="16" t="n">
        <v>630</v>
      </c>
      <c r="C54" s="16" t="n">
        <v>494</v>
      </c>
      <c r="D54" s="16" t="inlineStr">
        <is>
          <t>CERRADA</t>
        </is>
      </c>
      <c r="E54" s="16" t="inlineStr">
        <is>
          <t>PAGADA</t>
        </is>
      </c>
      <c r="F54" s="16" t="inlineStr">
        <is>
          <t>Electricos</t>
        </is>
      </c>
      <c r="G54" s="16" t="inlineStr"/>
      <c r="H54" s="16" t="inlineStr">
        <is>
          <t>ABRAZADERA AJUSTABLE 1/2" - UND</t>
        </is>
      </c>
      <c r="I54" s="28" t="n">
        <v>42</v>
      </c>
      <c r="J54" s="29" t="n">
        <v>736.88</v>
      </c>
      <c r="K54" s="29" t="n">
        <v>30948.96</v>
      </c>
      <c r="L54" s="16" t="inlineStr">
        <is>
          <t>IVA 19%</t>
        </is>
      </c>
      <c r="M54" s="29" t="n">
        <v>5880</v>
      </c>
      <c r="N54" s="29" t="n">
        <v>36828.96</v>
      </c>
      <c r="O54" s="16" t="inlineStr">
        <is>
          <t>JULIO CESAR DEAVILA MARTINEZ</t>
        </is>
      </c>
      <c r="P54" s="16" t="inlineStr">
        <is>
          <t>ELECTRICOS DEL VALLE SAS</t>
        </is>
      </c>
      <c r="Q54" s="16" t="inlineStr">
        <is>
          <t>PLANEADA</t>
        </is>
      </c>
      <c r="R54" s="16" t="inlineStr">
        <is>
          <t>TECHO</t>
        </is>
      </c>
      <c r="S54" s="16" t="inlineStr">
        <is>
          <t>EPE18185 EPE18081 EPE17909</t>
        </is>
      </c>
    </row>
    <row r="55">
      <c r="A55" s="30" t="n">
        <v>45931.36378472222</v>
      </c>
      <c r="B55" s="18" t="n">
        <v>630</v>
      </c>
      <c r="C55" s="18" t="n">
        <v>494</v>
      </c>
      <c r="D55" s="18" t="inlineStr">
        <is>
          <t>CERRADA</t>
        </is>
      </c>
      <c r="E55" s="18" t="inlineStr">
        <is>
          <t>PAGADA</t>
        </is>
      </c>
      <c r="F55" s="18" t="inlineStr">
        <is>
          <t>Electricos</t>
        </is>
      </c>
      <c r="G55" s="18" t="inlineStr"/>
      <c r="H55" s="18" t="inlineStr">
        <is>
          <t>CONECTOR TUBULAR COBRE ESTAÑADO 4 AWG - UND</t>
        </is>
      </c>
      <c r="I55" s="31" t="n">
        <v>1</v>
      </c>
      <c r="J55" s="32" t="n">
        <v>1418</v>
      </c>
      <c r="K55" s="32" t="n">
        <v>1418</v>
      </c>
      <c r="L55" s="18" t="inlineStr">
        <is>
          <t>IVA 19%</t>
        </is>
      </c>
      <c r="M55" s="32" t="n">
        <v>269</v>
      </c>
      <c r="N55" s="32" t="n">
        <v>1687</v>
      </c>
      <c r="O55" s="18" t="inlineStr">
        <is>
          <t>JULIO CESAR DEAVILA MARTINEZ</t>
        </is>
      </c>
      <c r="P55" s="18" t="inlineStr">
        <is>
          <t>ELECTRICOS DEL VALLE SAS</t>
        </is>
      </c>
      <c r="Q55" s="18" t="inlineStr">
        <is>
          <t>PLANEADA</t>
        </is>
      </c>
      <c r="R55" s="18" t="inlineStr">
        <is>
          <t>TECHO</t>
        </is>
      </c>
      <c r="S55" s="18" t="inlineStr">
        <is>
          <t>EPE18185 EPE18081 EPE17909</t>
        </is>
      </c>
    </row>
    <row r="56">
      <c r="A56" s="27" t="n">
        <v>45931.36378472222</v>
      </c>
      <c r="B56" s="16" t="n">
        <v>630</v>
      </c>
      <c r="C56" s="16" t="n">
        <v>494</v>
      </c>
      <c r="D56" s="16" t="inlineStr">
        <is>
          <t>CERRADA</t>
        </is>
      </c>
      <c r="E56" s="16" t="inlineStr">
        <is>
          <t>PAGADA</t>
        </is>
      </c>
      <c r="F56" s="16" t="inlineStr">
        <is>
          <t>Electricos</t>
        </is>
      </c>
      <c r="G56" s="16" t="inlineStr"/>
      <c r="H56" s="16" t="inlineStr">
        <is>
          <t>CABLE SIETE HILOS CU 14 NEGRO X METRO - UND</t>
        </is>
      </c>
      <c r="I56" s="28" t="n">
        <v>210</v>
      </c>
      <c r="J56" s="29" t="n">
        <v>1794.78</v>
      </c>
      <c r="K56" s="29" t="n">
        <v>376903.8</v>
      </c>
      <c r="L56" s="16" t="inlineStr">
        <is>
          <t>IVA 19%</t>
        </is>
      </c>
      <c r="M56" s="29" t="n">
        <v>71612</v>
      </c>
      <c r="N56" s="29" t="n">
        <v>448515.8</v>
      </c>
      <c r="O56" s="16" t="inlineStr">
        <is>
          <t>JULIO CESAR DEAVILA MARTINEZ</t>
        </is>
      </c>
      <c r="P56" s="16" t="inlineStr">
        <is>
          <t>ELECTRICOS DEL VALLE SAS</t>
        </is>
      </c>
      <c r="Q56" s="16" t="inlineStr">
        <is>
          <t>PLANEADA</t>
        </is>
      </c>
      <c r="R56" s="16" t="inlineStr">
        <is>
          <t>TECHO</t>
        </is>
      </c>
      <c r="S56" s="16" t="inlineStr">
        <is>
          <t>EPE18185 EPE18081 EPE17909</t>
        </is>
      </c>
    </row>
    <row r="57">
      <c r="A57" s="30" t="n">
        <v>45931.36378472222</v>
      </c>
      <c r="B57" s="18" t="n">
        <v>630</v>
      </c>
      <c r="C57" s="18" t="n">
        <v>494</v>
      </c>
      <c r="D57" s="18" t="inlineStr">
        <is>
          <t>CERRADA</t>
        </is>
      </c>
      <c r="E57" s="18" t="inlineStr">
        <is>
          <t>PAGADA</t>
        </is>
      </c>
      <c r="F57" s="18" t="inlineStr">
        <is>
          <t>Electricos</t>
        </is>
      </c>
      <c r="G57" s="18" t="inlineStr"/>
      <c r="H57" s="18" t="inlineStr">
        <is>
          <t>ABRAZADERA AJUSTABLE 3" - UND</t>
        </is>
      </c>
      <c r="I57" s="31" t="n">
        <v>34</v>
      </c>
      <c r="J57" s="32" t="n">
        <v>1881.88</v>
      </c>
      <c r="K57" s="32" t="n">
        <v>63983.92</v>
      </c>
      <c r="L57" s="18" t="inlineStr">
        <is>
          <t>IVA 19%</t>
        </is>
      </c>
      <c r="M57" s="32" t="n">
        <v>12157</v>
      </c>
      <c r="N57" s="32" t="n">
        <v>76140.92</v>
      </c>
      <c r="O57" s="18" t="inlineStr">
        <is>
          <t>JULIO CESAR DEAVILA MARTINEZ</t>
        </is>
      </c>
      <c r="P57" s="18" t="inlineStr">
        <is>
          <t>ELECTRICOS DEL VALLE SAS</t>
        </is>
      </c>
      <c r="Q57" s="18" t="inlineStr">
        <is>
          <t>PLANEADA</t>
        </is>
      </c>
      <c r="R57" s="18" t="inlineStr">
        <is>
          <t>TECHO</t>
        </is>
      </c>
      <c r="S57" s="18" t="inlineStr">
        <is>
          <t>EPE18185 EPE18081 EPE17909</t>
        </is>
      </c>
    </row>
    <row r="58">
      <c r="A58" s="27" t="n">
        <v>45931.36378472222</v>
      </c>
      <c r="B58" s="16" t="n">
        <v>630</v>
      </c>
      <c r="C58" s="16" t="n">
        <v>494</v>
      </c>
      <c r="D58" s="16" t="inlineStr">
        <is>
          <t>CERRADA</t>
        </is>
      </c>
      <c r="E58" s="16" t="inlineStr">
        <is>
          <t>PAGADA</t>
        </is>
      </c>
      <c r="F58" s="16" t="inlineStr">
        <is>
          <t>Electricos</t>
        </is>
      </c>
      <c r="G58" s="16" t="inlineStr"/>
      <c r="H58" s="16" t="inlineStr">
        <is>
          <t>CURVA 1/2"IMC RANGO LARGO - UND</t>
        </is>
      </c>
      <c r="I58" s="28" t="n">
        <v>1</v>
      </c>
      <c r="J58" s="29" t="n">
        <v>2549</v>
      </c>
      <c r="K58" s="29" t="n">
        <v>2549</v>
      </c>
      <c r="L58" s="16" t="inlineStr">
        <is>
          <t>IVA 19%</t>
        </is>
      </c>
      <c r="M58" s="29" t="n">
        <v>484</v>
      </c>
      <c r="N58" s="29" t="n">
        <v>3033</v>
      </c>
      <c r="O58" s="16" t="inlineStr">
        <is>
          <t>JULIO CESAR DEAVILA MARTINEZ</t>
        </is>
      </c>
      <c r="P58" s="16" t="inlineStr">
        <is>
          <t>ELECTRICOS DEL VALLE SAS</t>
        </is>
      </c>
      <c r="Q58" s="16" t="inlineStr">
        <is>
          <t>PLANEADA</t>
        </is>
      </c>
      <c r="R58" s="16" t="inlineStr">
        <is>
          <t>TECHO</t>
        </is>
      </c>
      <c r="S58" s="16" t="inlineStr">
        <is>
          <t>EPE18185 EPE18081 EPE17909</t>
        </is>
      </c>
    </row>
    <row r="59">
      <c r="A59" s="30" t="n">
        <v>45931.36378472222</v>
      </c>
      <c r="B59" s="18" t="n">
        <v>630</v>
      </c>
      <c r="C59" s="18" t="n">
        <v>494</v>
      </c>
      <c r="D59" s="18" t="inlineStr">
        <is>
          <t>CERRADA</t>
        </is>
      </c>
      <c r="E59" s="18" t="inlineStr">
        <is>
          <t>PAGADA</t>
        </is>
      </c>
      <c r="F59" s="18" t="inlineStr">
        <is>
          <t>Electricos</t>
        </is>
      </c>
      <c r="G59" s="18" t="inlineStr"/>
      <c r="H59" s="18" t="inlineStr">
        <is>
          <t>CURVA 3/4" IMC GALVANIZADA E.V SOLUTIONS - UND</t>
        </is>
      </c>
      <c r="I59" s="31" t="n">
        <v>6</v>
      </c>
      <c r="J59" s="32" t="n">
        <v>3242.5</v>
      </c>
      <c r="K59" s="32" t="n">
        <v>19455</v>
      </c>
      <c r="L59" s="18" t="inlineStr">
        <is>
          <t>IVA 19%</t>
        </is>
      </c>
      <c r="M59" s="32" t="n">
        <v>3696</v>
      </c>
      <c r="N59" s="32" t="n">
        <v>23151</v>
      </c>
      <c r="O59" s="18" t="inlineStr">
        <is>
          <t>JULIO CESAR DEAVILA MARTINEZ</t>
        </is>
      </c>
      <c r="P59" s="18" t="inlineStr">
        <is>
          <t>ELECTRICOS DEL VALLE SAS</t>
        </is>
      </c>
      <c r="Q59" s="18" t="inlineStr">
        <is>
          <t>PLANEADA</t>
        </is>
      </c>
      <c r="R59" s="18" t="inlineStr">
        <is>
          <t>TECHO</t>
        </is>
      </c>
      <c r="S59" s="18" t="inlineStr">
        <is>
          <t>EPE18185 EPE18081 EPE17909</t>
        </is>
      </c>
    </row>
    <row r="60">
      <c r="A60" s="27" t="n">
        <v>45931.36378472222</v>
      </c>
      <c r="B60" s="16" t="n">
        <v>630</v>
      </c>
      <c r="C60" s="16" t="n">
        <v>494</v>
      </c>
      <c r="D60" s="16" t="inlineStr">
        <is>
          <t>CERRADA</t>
        </is>
      </c>
      <c r="E60" s="16" t="inlineStr">
        <is>
          <t>PAGADA</t>
        </is>
      </c>
      <c r="F60" s="16" t="inlineStr">
        <is>
          <t>Electricos</t>
        </is>
      </c>
      <c r="G60" s="16" t="inlineStr"/>
      <c r="H60" s="16" t="inlineStr">
        <is>
          <t>TUERCA NPT X 2" (POLIAMIDA NEGRO NYLOFIX) 27-262006 - UND</t>
        </is>
      </c>
      <c r="I60" s="28" t="n">
        <v>2</v>
      </c>
      <c r="J60" s="29" t="n">
        <v>4543</v>
      </c>
      <c r="K60" s="29" t="n">
        <v>9086</v>
      </c>
      <c r="L60" s="16" t="inlineStr">
        <is>
          <t>IVA 19%</t>
        </is>
      </c>
      <c r="M60" s="29" t="n">
        <v>1726</v>
      </c>
      <c r="N60" s="29" t="n">
        <v>10812</v>
      </c>
      <c r="O60" s="16" t="inlineStr">
        <is>
          <t>JULIO CESAR DEAVILA MARTINEZ</t>
        </is>
      </c>
      <c r="P60" s="16" t="inlineStr">
        <is>
          <t>ELECTRICOS DEL VALLE SAS</t>
        </is>
      </c>
      <c r="Q60" s="16" t="inlineStr">
        <is>
          <t>PLANEADA</t>
        </is>
      </c>
      <c r="R60" s="16" t="inlineStr">
        <is>
          <t>TECHO</t>
        </is>
      </c>
      <c r="S60" s="16" t="inlineStr">
        <is>
          <t>EPE18185 EPE18081 EPE17909</t>
        </is>
      </c>
    </row>
    <row r="61">
      <c r="A61" s="30" t="n">
        <v>45931.36378472222</v>
      </c>
      <c r="B61" s="18" t="n">
        <v>630</v>
      </c>
      <c r="C61" s="18" t="n">
        <v>494</v>
      </c>
      <c r="D61" s="18" t="inlineStr">
        <is>
          <t>CERRADA</t>
        </is>
      </c>
      <c r="E61" s="18" t="inlineStr">
        <is>
          <t>PAGADA</t>
        </is>
      </c>
      <c r="F61" s="18" t="inlineStr">
        <is>
          <t>Electricos</t>
        </is>
      </c>
      <c r="G61" s="18" t="inlineStr"/>
      <c r="H61" s="18" t="inlineStr">
        <is>
          <t>CURVA 1" IMC RANGO LARGO - UND</t>
        </is>
      </c>
      <c r="I61" s="31" t="n">
        <v>4</v>
      </c>
      <c r="J61" s="32" t="n">
        <v>5549.5</v>
      </c>
      <c r="K61" s="32" t="n">
        <v>22198</v>
      </c>
      <c r="L61" s="18" t="inlineStr">
        <is>
          <t>IVA 19%</t>
        </is>
      </c>
      <c r="M61" s="32" t="n">
        <v>4218</v>
      </c>
      <c r="N61" s="32" t="n">
        <v>26416</v>
      </c>
      <c r="O61" s="18" t="inlineStr">
        <is>
          <t>JULIO CESAR DEAVILA MARTINEZ</t>
        </is>
      </c>
      <c r="P61" s="18" t="inlineStr">
        <is>
          <t>ELECTRICOS DEL VALLE SAS</t>
        </is>
      </c>
      <c r="Q61" s="18" t="inlineStr">
        <is>
          <t>PLANEADA</t>
        </is>
      </c>
      <c r="R61" s="18" t="inlineStr">
        <is>
          <t>TECHO</t>
        </is>
      </c>
      <c r="S61" s="18" t="inlineStr">
        <is>
          <t>EPE18185 EPE18081 EPE17909</t>
        </is>
      </c>
    </row>
    <row r="62">
      <c r="A62" s="27" t="n">
        <v>45931.36378472222</v>
      </c>
      <c r="B62" s="16" t="n">
        <v>630</v>
      </c>
      <c r="C62" s="16" t="n">
        <v>494</v>
      </c>
      <c r="D62" s="16" t="inlineStr">
        <is>
          <t>CERRADA</t>
        </is>
      </c>
      <c r="E62" s="16" t="inlineStr">
        <is>
          <t>PAGADA</t>
        </is>
      </c>
      <c r="F62" s="16" t="inlineStr">
        <is>
          <t>Electricos</t>
        </is>
      </c>
      <c r="G62" s="16" t="inlineStr"/>
      <c r="H62" s="16" t="inlineStr">
        <is>
          <t>S/M -</t>
        </is>
      </c>
      <c r="I62" s="28" t="n">
        <v>10</v>
      </c>
      <c r="J62" s="29" t="n">
        <v>5735</v>
      </c>
      <c r="K62" s="29" t="n">
        <v>57350</v>
      </c>
      <c r="L62" s="16" t="inlineStr">
        <is>
          <t>IVA 19%</t>
        </is>
      </c>
      <c r="M62" s="29" t="n">
        <v>10897</v>
      </c>
      <c r="N62" s="29" t="n">
        <v>68247</v>
      </c>
      <c r="O62" s="16" t="inlineStr">
        <is>
          <t>JULIO CESAR DEAVILA MARTINEZ</t>
        </is>
      </c>
      <c r="P62" s="16" t="inlineStr">
        <is>
          <t>ELECTRICOS DEL VALLE SAS</t>
        </is>
      </c>
      <c r="Q62" s="16" t="inlineStr">
        <is>
          <t>PLANEADA</t>
        </is>
      </c>
      <c r="R62" s="16" t="inlineStr">
        <is>
          <t>TECHO</t>
        </is>
      </c>
      <c r="S62" s="16" t="inlineStr">
        <is>
          <t>EPE18185 EPE18081 EPE17909</t>
        </is>
      </c>
    </row>
    <row r="63">
      <c r="A63" s="30" t="n">
        <v>45931.36378472222</v>
      </c>
      <c r="B63" s="18" t="n">
        <v>630</v>
      </c>
      <c r="C63" s="18" t="n">
        <v>494</v>
      </c>
      <c r="D63" s="18" t="inlineStr">
        <is>
          <t>CERRADA</t>
        </is>
      </c>
      <c r="E63" s="18" t="inlineStr">
        <is>
          <t>PAGADA</t>
        </is>
      </c>
      <c r="F63" s="18" t="inlineStr">
        <is>
          <t>Electricos</t>
        </is>
      </c>
      <c r="G63" s="18" t="inlineStr"/>
      <c r="H63" s="18" t="inlineStr">
        <is>
          <t>CONDULETA LB ROSCADA 1/2" 1307-OLB-2986-C - UND</t>
        </is>
      </c>
      <c r="I63" s="31" t="n">
        <v>4</v>
      </c>
      <c r="J63" s="32" t="n">
        <v>6554.25</v>
      </c>
      <c r="K63" s="32" t="n">
        <v>26217</v>
      </c>
      <c r="L63" s="18" t="inlineStr">
        <is>
          <t>IVA 19%</t>
        </is>
      </c>
      <c r="M63" s="32" t="n">
        <v>4981</v>
      </c>
      <c r="N63" s="32" t="n">
        <v>31198</v>
      </c>
      <c r="O63" s="18" t="inlineStr">
        <is>
          <t>JULIO CESAR DEAVILA MARTINEZ</t>
        </is>
      </c>
      <c r="P63" s="18" t="inlineStr">
        <is>
          <t>ELECTRICOS DEL VALLE SAS</t>
        </is>
      </c>
      <c r="Q63" s="18" t="inlineStr">
        <is>
          <t>PLANEADA</t>
        </is>
      </c>
      <c r="R63" s="18" t="inlineStr">
        <is>
          <t>TECHO</t>
        </is>
      </c>
      <c r="S63" s="18" t="inlineStr">
        <is>
          <t>EPE18185 EPE18081 EPE17909</t>
        </is>
      </c>
    </row>
    <row r="64">
      <c r="A64" s="27" t="n">
        <v>45931.36378472222</v>
      </c>
      <c r="B64" s="16" t="n">
        <v>630</v>
      </c>
      <c r="C64" s="16" t="n">
        <v>494</v>
      </c>
      <c r="D64" s="16" t="inlineStr">
        <is>
          <t>CERRADA</t>
        </is>
      </c>
      <c r="E64" s="16" t="inlineStr">
        <is>
          <t>PAGADA</t>
        </is>
      </c>
      <c r="F64" s="16" t="inlineStr">
        <is>
          <t>Electricos</t>
        </is>
      </c>
      <c r="G64" s="16" t="inlineStr"/>
      <c r="H64" s="16" t="inlineStr">
        <is>
          <t>CONDULETA LL ROSCADA 1/2" - UND</t>
        </is>
      </c>
      <c r="I64" s="28" t="n">
        <v>2</v>
      </c>
      <c r="J64" s="29" t="n">
        <v>6613</v>
      </c>
      <c r="K64" s="29" t="n">
        <v>13226</v>
      </c>
      <c r="L64" s="16" t="inlineStr">
        <is>
          <t>IVA 19%</t>
        </is>
      </c>
      <c r="M64" s="29" t="n">
        <v>2513</v>
      </c>
      <c r="N64" s="29" t="n">
        <v>15739</v>
      </c>
      <c r="O64" s="16" t="inlineStr">
        <is>
          <t>JULIO CESAR DEAVILA MARTINEZ</t>
        </is>
      </c>
      <c r="P64" s="16" t="inlineStr">
        <is>
          <t>ELECTRICOS DEL VALLE SAS</t>
        </is>
      </c>
      <c r="Q64" s="16" t="inlineStr">
        <is>
          <t>PLANEADA</t>
        </is>
      </c>
      <c r="R64" s="16" t="inlineStr">
        <is>
          <t>TECHO</t>
        </is>
      </c>
      <c r="S64" s="16" t="inlineStr">
        <is>
          <t>EPE18185 EPE18081 EPE17909</t>
        </is>
      </c>
    </row>
    <row r="65">
      <c r="A65" s="30" t="n">
        <v>45931.36378472222</v>
      </c>
      <c r="B65" s="18" t="n">
        <v>630</v>
      </c>
      <c r="C65" s="18" t="n">
        <v>494</v>
      </c>
      <c r="D65" s="18" t="inlineStr">
        <is>
          <t>CERRADA</t>
        </is>
      </c>
      <c r="E65" s="18" t="inlineStr">
        <is>
          <t>PAGADA</t>
        </is>
      </c>
      <c r="F65" s="18" t="inlineStr">
        <is>
          <t>Electricos</t>
        </is>
      </c>
      <c r="G65" s="18" t="inlineStr"/>
      <c r="H65" s="18" t="inlineStr">
        <is>
          <t>CONDULETA LR ROSCADA 1/2" - UND</t>
        </is>
      </c>
      <c r="I65" s="31" t="n">
        <v>1</v>
      </c>
      <c r="J65" s="32" t="n">
        <v>6713</v>
      </c>
      <c r="K65" s="32" t="n">
        <v>6713</v>
      </c>
      <c r="L65" s="18" t="inlineStr">
        <is>
          <t>IVA 19%</t>
        </is>
      </c>
      <c r="M65" s="32" t="n">
        <v>1275</v>
      </c>
      <c r="N65" s="32" t="n">
        <v>7988</v>
      </c>
      <c r="O65" s="18" t="inlineStr">
        <is>
          <t>JULIO CESAR DEAVILA MARTINEZ</t>
        </is>
      </c>
      <c r="P65" s="18" t="inlineStr">
        <is>
          <t>ELECTRICOS DEL VALLE SAS</t>
        </is>
      </c>
      <c r="Q65" s="18" t="inlineStr">
        <is>
          <t>PLANEADA</t>
        </is>
      </c>
      <c r="R65" s="18" t="inlineStr">
        <is>
          <t>TECHO</t>
        </is>
      </c>
      <c r="S65" s="18" t="inlineStr">
        <is>
          <t>EPE18185 EPE18081 EPE17909</t>
        </is>
      </c>
    </row>
    <row r="66">
      <c r="A66" s="27" t="n">
        <v>45931.36378472222</v>
      </c>
      <c r="B66" s="16" t="n">
        <v>630</v>
      </c>
      <c r="C66" s="16" t="n">
        <v>494</v>
      </c>
      <c r="D66" s="16" t="inlineStr">
        <is>
          <t>CERRADA</t>
        </is>
      </c>
      <c r="E66" s="16" t="inlineStr">
        <is>
          <t>PAGADA</t>
        </is>
      </c>
      <c r="F66" s="16" t="inlineStr">
        <is>
          <t>Electricos</t>
        </is>
      </c>
      <c r="G66" s="16" t="inlineStr"/>
      <c r="H66" s="16" t="inlineStr">
        <is>
          <t>CONDULETA LB ROSCADA  3/4" - UND</t>
        </is>
      </c>
      <c r="I66" s="28" t="n">
        <v>10</v>
      </c>
      <c r="J66" s="29" t="n">
        <v>7816.3</v>
      </c>
      <c r="K66" s="29" t="n">
        <v>78163</v>
      </c>
      <c r="L66" s="16" t="inlineStr">
        <is>
          <t>IVA 19%</t>
        </is>
      </c>
      <c r="M66" s="29" t="n">
        <v>14851</v>
      </c>
      <c r="N66" s="29" t="n">
        <v>93014</v>
      </c>
      <c r="O66" s="16" t="inlineStr">
        <is>
          <t>JULIO CESAR DEAVILA MARTINEZ</t>
        </is>
      </c>
      <c r="P66" s="16" t="inlineStr">
        <is>
          <t>ELECTRICOS DEL VALLE SAS</t>
        </is>
      </c>
      <c r="Q66" s="16" t="inlineStr">
        <is>
          <t>PLANEADA</t>
        </is>
      </c>
      <c r="R66" s="16" t="inlineStr">
        <is>
          <t>TECHO</t>
        </is>
      </c>
      <c r="S66" s="16" t="inlineStr">
        <is>
          <t>EPE18185 EPE18081 EPE17909</t>
        </is>
      </c>
    </row>
    <row r="67">
      <c r="A67" s="30" t="n">
        <v>45931.36378472222</v>
      </c>
      <c r="B67" s="18" t="n">
        <v>630</v>
      </c>
      <c r="C67" s="18" t="n">
        <v>494</v>
      </c>
      <c r="D67" s="18" t="inlineStr">
        <is>
          <t>CERRADA</t>
        </is>
      </c>
      <c r="E67" s="18" t="inlineStr">
        <is>
          <t>PAGADA</t>
        </is>
      </c>
      <c r="F67" s="18" t="inlineStr">
        <is>
          <t>Electricos</t>
        </is>
      </c>
      <c r="G67" s="18" t="inlineStr"/>
      <c r="H67" s="18" t="inlineStr">
        <is>
          <t>TUBO EMT 1/2" X 3M - UND</t>
        </is>
      </c>
      <c r="I67" s="31" t="n">
        <v>6</v>
      </c>
      <c r="J67" s="32" t="n">
        <v>10192.5</v>
      </c>
      <c r="K67" s="32" t="n">
        <v>61155</v>
      </c>
      <c r="L67" s="18" t="inlineStr">
        <is>
          <t>IVA 19%</t>
        </is>
      </c>
      <c r="M67" s="32" t="n">
        <v>11619</v>
      </c>
      <c r="N67" s="32" t="n">
        <v>72774</v>
      </c>
      <c r="O67" s="18" t="inlineStr">
        <is>
          <t>JULIO CESAR DEAVILA MARTINEZ</t>
        </is>
      </c>
      <c r="P67" s="18" t="inlineStr">
        <is>
          <t>ELECTRICOS DEL VALLE SAS</t>
        </is>
      </c>
      <c r="Q67" s="18" t="inlineStr">
        <is>
          <t>PLANEADA</t>
        </is>
      </c>
      <c r="R67" s="18" t="inlineStr">
        <is>
          <t>TECHO</t>
        </is>
      </c>
      <c r="S67" s="18" t="inlineStr">
        <is>
          <t>EPE18185 EPE18081 EPE17909</t>
        </is>
      </c>
    </row>
    <row r="68">
      <c r="A68" s="27" t="n">
        <v>45931.36378472222</v>
      </c>
      <c r="B68" s="16" t="n">
        <v>630</v>
      </c>
      <c r="C68" s="16" t="n">
        <v>494</v>
      </c>
      <c r="D68" s="16" t="inlineStr">
        <is>
          <t>CERRADA</t>
        </is>
      </c>
      <c r="E68" s="16" t="inlineStr">
        <is>
          <t>PAGADA</t>
        </is>
      </c>
      <c r="F68" s="16" t="inlineStr">
        <is>
          <t>Electricos</t>
        </is>
      </c>
      <c r="G68" s="16" t="inlineStr"/>
      <c r="H68" s="16" t="inlineStr">
        <is>
          <t>CABLE AL 4/0 AWG X METRO - UND</t>
        </is>
      </c>
      <c r="I68" s="28" t="n">
        <v>156</v>
      </c>
      <c r="J68" s="29" t="n">
        <v>10271.39</v>
      </c>
      <c r="K68" s="29" t="n">
        <v>1602336.84</v>
      </c>
      <c r="L68" s="16" t="inlineStr">
        <is>
          <t>IVA 19%</t>
        </is>
      </c>
      <c r="M68" s="29" t="n">
        <v>304444</v>
      </c>
      <c r="N68" s="29" t="n">
        <v>1906780.84</v>
      </c>
      <c r="O68" s="16" t="inlineStr">
        <is>
          <t>JULIO CESAR DEAVILA MARTINEZ</t>
        </is>
      </c>
      <c r="P68" s="16" t="inlineStr">
        <is>
          <t>ELECTRICOS DEL VALLE SAS</t>
        </is>
      </c>
      <c r="Q68" s="16" t="inlineStr">
        <is>
          <t>PLANEADA</t>
        </is>
      </c>
      <c r="R68" s="16" t="inlineStr">
        <is>
          <t>TECHO</t>
        </is>
      </c>
      <c r="S68" s="16" t="inlineStr">
        <is>
          <t>EPE18185 EPE18081 EPE17909</t>
        </is>
      </c>
    </row>
    <row r="69">
      <c r="A69" s="30" t="n">
        <v>45931.36378472222</v>
      </c>
      <c r="B69" s="18" t="n">
        <v>630</v>
      </c>
      <c r="C69" s="18" t="n">
        <v>494</v>
      </c>
      <c r="D69" s="18" t="inlineStr">
        <is>
          <t>CERRADA</t>
        </is>
      </c>
      <c r="E69" s="18" t="inlineStr">
        <is>
          <t>PAGADA</t>
        </is>
      </c>
      <c r="F69" s="18" t="inlineStr">
        <is>
          <t>Electricos</t>
        </is>
      </c>
      <c r="G69" s="18" t="inlineStr"/>
      <c r="H69" s="18" t="inlineStr">
        <is>
          <t>CONECTOR CHAPETA PUESTA A TIERRA PARA BANDEJA PORTACABLE TIPO ESCALERA P/ CABLE 8 COBRIZADA - GALCO - UND</t>
        </is>
      </c>
      <c r="I69" s="31" t="n">
        <v>30</v>
      </c>
      <c r="J69" s="32" t="n">
        <v>10799.26</v>
      </c>
      <c r="K69" s="32" t="n">
        <v>323977.8</v>
      </c>
      <c r="L69" s="18" t="inlineStr">
        <is>
          <t>IVA 19%</t>
        </is>
      </c>
      <c r="M69" s="32" t="n">
        <v>61556</v>
      </c>
      <c r="N69" s="32" t="n">
        <v>385533.8</v>
      </c>
      <c r="O69" s="18" t="inlineStr">
        <is>
          <t>JULIO CESAR DEAVILA MARTINEZ</t>
        </is>
      </c>
      <c r="P69" s="18" t="inlineStr">
        <is>
          <t>ELECTRICOS DEL VALLE SAS</t>
        </is>
      </c>
      <c r="Q69" s="18" t="inlineStr">
        <is>
          <t>PLANEADA</t>
        </is>
      </c>
      <c r="R69" s="18" t="inlineStr">
        <is>
          <t>TECHO</t>
        </is>
      </c>
      <c r="S69" s="18" t="inlineStr">
        <is>
          <t>EPE18185 EPE18081 EPE17909</t>
        </is>
      </c>
    </row>
    <row r="70">
      <c r="A70" s="27" t="n">
        <v>45931.36378472222</v>
      </c>
      <c r="B70" s="16" t="n">
        <v>630</v>
      </c>
      <c r="C70" s="16" t="n">
        <v>494</v>
      </c>
      <c r="D70" s="16" t="inlineStr">
        <is>
          <t>CERRADA</t>
        </is>
      </c>
      <c r="E70" s="16" t="inlineStr">
        <is>
          <t>PAGADA</t>
        </is>
      </c>
      <c r="F70" s="16" t="inlineStr">
        <is>
          <t>Electricos</t>
        </is>
      </c>
      <c r="G70" s="16" t="inlineStr"/>
      <c r="H70" s="16" t="inlineStr">
        <is>
          <t>UNION 3" IMC GALVANIZADA E.V SOLUTIONS 1301-RL-867 - UND</t>
        </is>
      </c>
      <c r="I70" s="28" t="n">
        <v>8</v>
      </c>
      <c r="J70" s="29" t="n">
        <v>11101.87</v>
      </c>
      <c r="K70" s="29" t="n">
        <v>88814.96000000001</v>
      </c>
      <c r="L70" s="16" t="inlineStr">
        <is>
          <t>IVA 19%</t>
        </is>
      </c>
      <c r="M70" s="29" t="n">
        <v>16875</v>
      </c>
      <c r="N70" s="29" t="n">
        <v>105689.96</v>
      </c>
      <c r="O70" s="16" t="inlineStr">
        <is>
          <t>JULIO CESAR DEAVILA MARTINEZ</t>
        </is>
      </c>
      <c r="P70" s="16" t="inlineStr">
        <is>
          <t>ELECTRICOS DEL VALLE SAS</t>
        </is>
      </c>
      <c r="Q70" s="16" t="inlineStr">
        <is>
          <t>PLANEADA</t>
        </is>
      </c>
      <c r="R70" s="16" t="inlineStr">
        <is>
          <t>TECHO</t>
        </is>
      </c>
      <c r="S70" s="16" t="inlineStr">
        <is>
          <t>EPE18185 EPE18081 EPE17909</t>
        </is>
      </c>
    </row>
    <row r="71">
      <c r="A71" s="30" t="n">
        <v>45931.36378472222</v>
      </c>
      <c r="B71" s="18" t="n">
        <v>630</v>
      </c>
      <c r="C71" s="18" t="n">
        <v>494</v>
      </c>
      <c r="D71" s="18" t="inlineStr">
        <is>
          <t>CERRADA</t>
        </is>
      </c>
      <c r="E71" s="18" t="inlineStr">
        <is>
          <t>PAGADA</t>
        </is>
      </c>
      <c r="F71" s="18" t="inlineStr">
        <is>
          <t>Electricos</t>
        </is>
      </c>
      <c r="G71" s="18" t="inlineStr"/>
      <c r="H71" s="18" t="inlineStr">
        <is>
          <t>CONDULETA LB ROSCADA  1" - UND</t>
        </is>
      </c>
      <c r="I71" s="31" t="n">
        <v>5</v>
      </c>
      <c r="J71" s="32" t="n">
        <v>11259.8</v>
      </c>
      <c r="K71" s="32" t="n">
        <v>56299</v>
      </c>
      <c r="L71" s="18" t="inlineStr">
        <is>
          <t>IVA 19%</t>
        </is>
      </c>
      <c r="M71" s="32" t="n">
        <v>10697</v>
      </c>
      <c r="N71" s="32" t="n">
        <v>66996</v>
      </c>
      <c r="O71" s="18" t="inlineStr">
        <is>
          <t>JULIO CESAR DEAVILA MARTINEZ</t>
        </is>
      </c>
      <c r="P71" s="18" t="inlineStr">
        <is>
          <t>ELECTRICOS DEL VALLE SAS</t>
        </is>
      </c>
      <c r="Q71" s="18" t="inlineStr">
        <is>
          <t>PLANEADA</t>
        </is>
      </c>
      <c r="R71" s="18" t="inlineStr">
        <is>
          <t>TECHO</t>
        </is>
      </c>
      <c r="S71" s="18" t="inlineStr">
        <is>
          <t>EPE18185 EPE18081 EPE17909</t>
        </is>
      </c>
    </row>
    <row r="72">
      <c r="A72" s="27" t="n">
        <v>45931.36378472222</v>
      </c>
      <c r="B72" s="16" t="n">
        <v>630</v>
      </c>
      <c r="C72" s="16" t="n">
        <v>494</v>
      </c>
      <c r="D72" s="16" t="inlineStr">
        <is>
          <t>CERRADA</t>
        </is>
      </c>
      <c r="E72" s="16" t="inlineStr">
        <is>
          <t>PAGADA</t>
        </is>
      </c>
      <c r="F72" s="16" t="inlineStr">
        <is>
          <t>Electricos</t>
        </is>
      </c>
      <c r="G72" s="16" t="inlineStr"/>
      <c r="H72" s="16" t="inlineStr">
        <is>
          <t>CONECTOR TUBULAR ESTAÑADO BIMETALICO 4/0 AWG - UND</t>
        </is>
      </c>
      <c r="I72" s="28" t="n">
        <v>4</v>
      </c>
      <c r="J72" s="29" t="n">
        <v>11691.75</v>
      </c>
      <c r="K72" s="29" t="n">
        <v>46767</v>
      </c>
      <c r="L72" s="16" t="inlineStr">
        <is>
          <t>IVA 19%</t>
        </is>
      </c>
      <c r="M72" s="29" t="n">
        <v>8886</v>
      </c>
      <c r="N72" s="29" t="n">
        <v>55653</v>
      </c>
      <c r="O72" s="16" t="inlineStr">
        <is>
          <t>JULIO CESAR DEAVILA MARTINEZ</t>
        </is>
      </c>
      <c r="P72" s="16" t="inlineStr">
        <is>
          <t>ELECTRICOS DEL VALLE SAS</t>
        </is>
      </c>
      <c r="Q72" s="16" t="inlineStr">
        <is>
          <t>PLANEADA</t>
        </is>
      </c>
      <c r="R72" s="16" t="inlineStr">
        <is>
          <t>TECHO</t>
        </is>
      </c>
      <c r="S72" s="16" t="inlineStr">
        <is>
          <t>EPE18185 EPE18081 EPE17909</t>
        </is>
      </c>
    </row>
    <row r="73">
      <c r="A73" s="30" t="n">
        <v>45931.36378472222</v>
      </c>
      <c r="B73" s="18" t="n">
        <v>630</v>
      </c>
      <c r="C73" s="18" t="n">
        <v>494</v>
      </c>
      <c r="D73" s="18" t="inlineStr">
        <is>
          <t>CERRADA</t>
        </is>
      </c>
      <c r="E73" s="18" t="inlineStr">
        <is>
          <t>PAGADA</t>
        </is>
      </c>
      <c r="F73" s="18" t="inlineStr">
        <is>
          <t>Electricos</t>
        </is>
      </c>
      <c r="G73" s="18" t="inlineStr"/>
      <c r="H73" s="18" t="inlineStr">
        <is>
          <t>CABLE CU 4 AWG NEGRO THHN/THWN AISLA NYLON - UND</t>
        </is>
      </c>
      <c r="I73" s="31" t="n">
        <v>31</v>
      </c>
      <c r="J73" s="32" t="n">
        <v>13874.54</v>
      </c>
      <c r="K73" s="32" t="n">
        <v>430110.74</v>
      </c>
      <c r="L73" s="18" t="inlineStr">
        <is>
          <t>IVA 19%</t>
        </is>
      </c>
      <c r="M73" s="32" t="n">
        <v>81721</v>
      </c>
      <c r="N73" s="32" t="n">
        <v>511831.74</v>
      </c>
      <c r="O73" s="18" t="inlineStr">
        <is>
          <t>JULIO CESAR DEAVILA MARTINEZ</t>
        </is>
      </c>
      <c r="P73" s="18" t="inlineStr">
        <is>
          <t>ELECTRICOS DEL VALLE SAS</t>
        </is>
      </c>
      <c r="Q73" s="18" t="inlineStr">
        <is>
          <t>PLANEADA</t>
        </is>
      </c>
      <c r="R73" s="18" t="inlineStr">
        <is>
          <t>TECHO</t>
        </is>
      </c>
      <c r="S73" s="18" t="inlineStr">
        <is>
          <t>EPE18185 EPE18081 EPE17909</t>
        </is>
      </c>
    </row>
    <row r="74">
      <c r="A74" s="27" t="n">
        <v>45931.36378472222</v>
      </c>
      <c r="B74" s="16" t="n">
        <v>630</v>
      </c>
      <c r="C74" s="16" t="n">
        <v>494</v>
      </c>
      <c r="D74" s="16" t="inlineStr">
        <is>
          <t>CERRADA</t>
        </is>
      </c>
      <c r="E74" s="16" t="inlineStr">
        <is>
          <t>PAGADA</t>
        </is>
      </c>
      <c r="F74" s="16" t="inlineStr">
        <is>
          <t>Electricos</t>
        </is>
      </c>
      <c r="G74" s="16" t="inlineStr"/>
      <c r="H74" s="16" t="inlineStr">
        <is>
          <t>TUBO 1/2" IMC GALV 3MTS 1301-160620 - UND</t>
        </is>
      </c>
      <c r="I74" s="28" t="n">
        <v>21</v>
      </c>
      <c r="J74" s="29" t="n">
        <v>15692.61</v>
      </c>
      <c r="K74" s="29" t="n">
        <v>329544.81</v>
      </c>
      <c r="L74" s="16" t="inlineStr">
        <is>
          <t>IVA 19%</t>
        </is>
      </c>
      <c r="M74" s="29" t="n">
        <v>62614</v>
      </c>
      <c r="N74" s="29" t="n">
        <v>392158.81</v>
      </c>
      <c r="O74" s="16" t="inlineStr">
        <is>
          <t>JULIO CESAR DEAVILA MARTINEZ</t>
        </is>
      </c>
      <c r="P74" s="16" t="inlineStr">
        <is>
          <t>ELECTRICOS DEL VALLE SAS</t>
        </is>
      </c>
      <c r="Q74" s="16" t="inlineStr">
        <is>
          <t>PLANEADA</t>
        </is>
      </c>
      <c r="R74" s="16" t="inlineStr">
        <is>
          <t>TECHO</t>
        </is>
      </c>
      <c r="S74" s="16" t="inlineStr">
        <is>
          <t>EPE18185 EPE18081 EPE17909</t>
        </is>
      </c>
    </row>
    <row r="75">
      <c r="A75" s="30" t="n">
        <v>45931.36378472222</v>
      </c>
      <c r="B75" s="18" t="n">
        <v>630</v>
      </c>
      <c r="C75" s="18" t="n">
        <v>494</v>
      </c>
      <c r="D75" s="18" t="inlineStr">
        <is>
          <t>CERRADA</t>
        </is>
      </c>
      <c r="E75" s="18" t="inlineStr">
        <is>
          <t>PAGADA</t>
        </is>
      </c>
      <c r="F75" s="18" t="inlineStr">
        <is>
          <t>Electricos</t>
        </is>
      </c>
      <c r="G75" s="18" t="inlineStr"/>
      <c r="H75" s="18" t="inlineStr">
        <is>
          <t>CABLE CU DESNUDO 2 AWG 7H (CENTELSA) 1005-200883 - UND</t>
        </is>
      </c>
      <c r="I75" s="31" t="n">
        <v>50</v>
      </c>
      <c r="J75" s="32" t="n">
        <v>19741.76</v>
      </c>
      <c r="K75" s="32" t="n">
        <v>987088</v>
      </c>
      <c r="L75" s="18" t="inlineStr">
        <is>
          <t>IVA 19%</t>
        </is>
      </c>
      <c r="M75" s="32" t="n">
        <v>187547</v>
      </c>
      <c r="N75" s="32" t="n">
        <v>1174635</v>
      </c>
      <c r="O75" s="18" t="inlineStr">
        <is>
          <t>JULIO CESAR DEAVILA MARTINEZ</t>
        </is>
      </c>
      <c r="P75" s="18" t="inlineStr">
        <is>
          <t>ELECTRICOS DEL VALLE SAS</t>
        </is>
      </c>
      <c r="Q75" s="18" t="inlineStr">
        <is>
          <t>PLANEADA</t>
        </is>
      </c>
      <c r="R75" s="18" t="inlineStr">
        <is>
          <t>TECHO</t>
        </is>
      </c>
      <c r="S75" s="18" t="inlineStr">
        <is>
          <t>EPE18185 EPE18081 EPE17909</t>
        </is>
      </c>
    </row>
    <row r="76">
      <c r="A76" s="27" t="n">
        <v>45931.36378472222</v>
      </c>
      <c r="B76" s="16" t="n">
        <v>630</v>
      </c>
      <c r="C76" s="16" t="n">
        <v>494</v>
      </c>
      <c r="D76" s="16" t="inlineStr">
        <is>
          <t>CERRADA</t>
        </is>
      </c>
      <c r="E76" s="16" t="inlineStr">
        <is>
          <t>PAGADA</t>
        </is>
      </c>
      <c r="F76" s="16" t="inlineStr">
        <is>
          <t>Electricos</t>
        </is>
      </c>
      <c r="G76" s="16" t="inlineStr"/>
      <c r="H76" s="16" t="inlineStr">
        <is>
          <t>CONECTOR RECTO 2" NPT 48mm NYLOFIX NEGRO - INTERFLEX - UND</t>
        </is>
      </c>
      <c r="I76" s="28" t="n">
        <v>2</v>
      </c>
      <c r="J76" s="29" t="n">
        <v>20520.5</v>
      </c>
      <c r="K76" s="29" t="n">
        <v>41041</v>
      </c>
      <c r="L76" s="16" t="inlineStr">
        <is>
          <t>IVA 19%</t>
        </is>
      </c>
      <c r="M76" s="29" t="n">
        <v>7798</v>
      </c>
      <c r="N76" s="29" t="n">
        <v>48839</v>
      </c>
      <c r="O76" s="16" t="inlineStr">
        <is>
          <t>JULIO CESAR DEAVILA MARTINEZ</t>
        </is>
      </c>
      <c r="P76" s="16" t="inlineStr">
        <is>
          <t>ELECTRICOS DEL VALLE SAS</t>
        </is>
      </c>
      <c r="Q76" s="16" t="inlineStr">
        <is>
          <t>PLANEADA</t>
        </is>
      </c>
      <c r="R76" s="16" t="inlineStr">
        <is>
          <t>TECHO</t>
        </is>
      </c>
      <c r="S76" s="16" t="inlineStr">
        <is>
          <t>EPE18185 EPE18081 EPE17909</t>
        </is>
      </c>
    </row>
    <row r="77">
      <c r="A77" s="30" t="n">
        <v>45931.36378472222</v>
      </c>
      <c r="B77" s="18" t="n">
        <v>630</v>
      </c>
      <c r="C77" s="18" t="n">
        <v>494</v>
      </c>
      <c r="D77" s="18" t="inlineStr">
        <is>
          <t>CERRADA</t>
        </is>
      </c>
      <c r="E77" s="18" t="inlineStr">
        <is>
          <t>PAGADA</t>
        </is>
      </c>
      <c r="F77" s="18" t="inlineStr">
        <is>
          <t>Electricos</t>
        </is>
      </c>
      <c r="G77" s="18" t="inlineStr"/>
      <c r="H77" s="18" t="inlineStr">
        <is>
          <t>CORAZA PLASTICA 2" 47 MM NEGRA NYLOFILIX 27-AGT-48N - UND</t>
        </is>
      </c>
      <c r="I77" s="31" t="n">
        <v>2</v>
      </c>
      <c r="J77" s="32" t="n">
        <v>22727.5</v>
      </c>
      <c r="K77" s="32" t="n">
        <v>45455</v>
      </c>
      <c r="L77" s="18" t="inlineStr">
        <is>
          <t>IVA 19%</t>
        </is>
      </c>
      <c r="M77" s="32" t="n">
        <v>8636</v>
      </c>
      <c r="N77" s="32" t="n">
        <v>54091</v>
      </c>
      <c r="O77" s="18" t="inlineStr">
        <is>
          <t>JULIO CESAR DEAVILA MARTINEZ</t>
        </is>
      </c>
      <c r="P77" s="18" t="inlineStr">
        <is>
          <t>ELECTRICOS DEL VALLE SAS</t>
        </is>
      </c>
      <c r="Q77" s="18" t="inlineStr">
        <is>
          <t>PLANEADA</t>
        </is>
      </c>
      <c r="R77" s="18" t="inlineStr">
        <is>
          <t>TECHO</t>
        </is>
      </c>
      <c r="S77" s="18" t="inlineStr">
        <is>
          <t>EPE18185 EPE18081 EPE17909</t>
        </is>
      </c>
    </row>
    <row r="78">
      <c r="A78" s="27" t="n">
        <v>45931.36378472222</v>
      </c>
      <c r="B78" s="16" t="n">
        <v>630</v>
      </c>
      <c r="C78" s="16" t="n">
        <v>494</v>
      </c>
      <c r="D78" s="16" t="inlineStr">
        <is>
          <t>CERRADA</t>
        </is>
      </c>
      <c r="E78" s="16" t="inlineStr">
        <is>
          <t>PAGADA</t>
        </is>
      </c>
      <c r="F78" s="16" t="inlineStr">
        <is>
          <t>Electricos</t>
        </is>
      </c>
      <c r="G78" s="16" t="inlineStr"/>
      <c r="H78" s="16" t="inlineStr">
        <is>
          <t>CORAZA AMERICANA 3" - UND</t>
        </is>
      </c>
      <c r="I78" s="28" t="n">
        <v>3</v>
      </c>
      <c r="J78" s="29" t="n">
        <v>31393</v>
      </c>
      <c r="K78" s="29" t="n">
        <v>94179</v>
      </c>
      <c r="L78" s="16" t="inlineStr">
        <is>
          <t>IVA 19%</t>
        </is>
      </c>
      <c r="M78" s="29" t="n">
        <v>17894</v>
      </c>
      <c r="N78" s="29" t="n">
        <v>112073</v>
      </c>
      <c r="O78" s="16" t="inlineStr">
        <is>
          <t>JULIO CESAR DEAVILA MARTINEZ</t>
        </is>
      </c>
      <c r="P78" s="16" t="inlineStr">
        <is>
          <t>ELECTRICOS DEL VALLE SAS</t>
        </is>
      </c>
      <c r="Q78" s="16" t="inlineStr">
        <is>
          <t>PLANEADA</t>
        </is>
      </c>
      <c r="R78" s="16" t="inlineStr">
        <is>
          <t>TECHO</t>
        </is>
      </c>
      <c r="S78" s="16" t="inlineStr">
        <is>
          <t>EPE18185 EPE18081 EPE17909</t>
        </is>
      </c>
    </row>
    <row r="79">
      <c r="A79" s="30" t="n">
        <v>45931.36378472222</v>
      </c>
      <c r="B79" s="18" t="n">
        <v>630</v>
      </c>
      <c r="C79" s="18" t="n">
        <v>494</v>
      </c>
      <c r="D79" s="18" t="inlineStr">
        <is>
          <t>CERRADA</t>
        </is>
      </c>
      <c r="E79" s="18" t="inlineStr">
        <is>
          <t>PAGADA</t>
        </is>
      </c>
      <c r="F79" s="18" t="inlineStr">
        <is>
          <t>Electricos</t>
        </is>
      </c>
      <c r="G79" s="18" t="inlineStr"/>
      <c r="H79" s="18" t="inlineStr">
        <is>
          <t>CONECTOR RECTO DE CORAZA  3" - UND</t>
        </is>
      </c>
      <c r="I79" s="31" t="n">
        <v>4</v>
      </c>
      <c r="J79" s="32" t="n">
        <v>34467.5</v>
      </c>
      <c r="K79" s="32" t="n">
        <v>137870</v>
      </c>
      <c r="L79" s="18" t="inlineStr">
        <is>
          <t>IVA 19%</t>
        </is>
      </c>
      <c r="M79" s="32" t="n">
        <v>26195</v>
      </c>
      <c r="N79" s="32" t="n">
        <v>164065</v>
      </c>
      <c r="O79" s="18" t="inlineStr">
        <is>
          <t>JULIO CESAR DEAVILA MARTINEZ</t>
        </is>
      </c>
      <c r="P79" s="18" t="inlineStr">
        <is>
          <t>ELECTRICOS DEL VALLE SAS</t>
        </is>
      </c>
      <c r="Q79" s="18" t="inlineStr">
        <is>
          <t>PLANEADA</t>
        </is>
      </c>
      <c r="R79" s="18" t="inlineStr">
        <is>
          <t>TECHO</t>
        </is>
      </c>
      <c r="S79" s="18" t="inlineStr">
        <is>
          <t>EPE18185 EPE18081 EPE17909</t>
        </is>
      </c>
    </row>
    <row r="80">
      <c r="A80" s="27" t="n">
        <v>45931.36378472222</v>
      </c>
      <c r="B80" s="16" t="n">
        <v>630</v>
      </c>
      <c r="C80" s="16" t="n">
        <v>494</v>
      </c>
      <c r="D80" s="16" t="inlineStr">
        <is>
          <t>CERRADA</t>
        </is>
      </c>
      <c r="E80" s="16" t="inlineStr">
        <is>
          <t>PAGADA</t>
        </is>
      </c>
      <c r="F80" s="16" t="inlineStr">
        <is>
          <t>Electricos</t>
        </is>
      </c>
      <c r="G80" s="16" t="inlineStr"/>
      <c r="H80" s="16" t="inlineStr">
        <is>
          <t>CANAL ESTRUCTURADO 4X2 (7/8"x 1 5/8") RANURADO 300M CALIBRE 14 G/C - GALCO - UND</t>
        </is>
      </c>
      <c r="I80" s="28" t="n">
        <v>10</v>
      </c>
      <c r="J80" s="29" t="n">
        <v>46846.8</v>
      </c>
      <c r="K80" s="29" t="n">
        <v>468468</v>
      </c>
      <c r="L80" s="16" t="inlineStr">
        <is>
          <t>IVA 19%</t>
        </is>
      </c>
      <c r="M80" s="29" t="n">
        <v>89009</v>
      </c>
      <c r="N80" s="29" t="n">
        <v>557477</v>
      </c>
      <c r="O80" s="16" t="inlineStr">
        <is>
          <t>JULIO CESAR DEAVILA MARTINEZ</t>
        </is>
      </c>
      <c r="P80" s="16" t="inlineStr">
        <is>
          <t>ELECTRICOS DEL VALLE SAS</t>
        </is>
      </c>
      <c r="Q80" s="16" t="inlineStr">
        <is>
          <t>PLANEADA</t>
        </is>
      </c>
      <c r="R80" s="16" t="inlineStr">
        <is>
          <t>TECHO</t>
        </is>
      </c>
      <c r="S80" s="16" t="inlineStr">
        <is>
          <t>EPE18185 EPE18081 EPE17909</t>
        </is>
      </c>
    </row>
    <row r="81">
      <c r="A81" s="30" t="n">
        <v>45931.36378472222</v>
      </c>
      <c r="B81" s="18" t="n">
        <v>630</v>
      </c>
      <c r="C81" s="18" t="n">
        <v>494</v>
      </c>
      <c r="D81" s="18" t="inlineStr">
        <is>
          <t>CERRADA</t>
        </is>
      </c>
      <c r="E81" s="18" t="inlineStr">
        <is>
          <t>PAGADA</t>
        </is>
      </c>
      <c r="F81" s="18" t="inlineStr">
        <is>
          <t>Electricos</t>
        </is>
      </c>
      <c r="G81" s="18" t="inlineStr"/>
      <c r="H81" s="18" t="inlineStr">
        <is>
          <t>CURVA 3" IMC GALVANIZADA - UND</t>
        </is>
      </c>
      <c r="I81" s="31" t="n">
        <v>1</v>
      </c>
      <c r="J81" s="32" t="n">
        <v>69263</v>
      </c>
      <c r="K81" s="32" t="n">
        <v>69263</v>
      </c>
      <c r="L81" s="18" t="inlineStr">
        <is>
          <t>IVA 19%</t>
        </is>
      </c>
      <c r="M81" s="32" t="n">
        <v>13160</v>
      </c>
      <c r="N81" s="32" t="n">
        <v>82423</v>
      </c>
      <c r="O81" s="18" t="inlineStr">
        <is>
          <t>JULIO CESAR DEAVILA MARTINEZ</t>
        </is>
      </c>
      <c r="P81" s="18" t="inlineStr">
        <is>
          <t>ELECTRICOS DEL VALLE SAS</t>
        </is>
      </c>
      <c r="Q81" s="18" t="inlineStr">
        <is>
          <t>PLANEADA</t>
        </is>
      </c>
      <c r="R81" s="18" t="inlineStr">
        <is>
          <t>TECHO</t>
        </is>
      </c>
      <c r="S81" s="18" t="inlineStr">
        <is>
          <t>EPE18185 EPE18081 EPE17909</t>
        </is>
      </c>
    </row>
    <row r="82">
      <c r="A82" s="27" t="n">
        <v>45931.36378472222</v>
      </c>
      <c r="B82" s="16" t="n">
        <v>630</v>
      </c>
      <c r="C82" s="16" t="n">
        <v>494</v>
      </c>
      <c r="D82" s="16" t="inlineStr">
        <is>
          <t>CERRADA</t>
        </is>
      </c>
      <c r="E82" s="16" t="inlineStr">
        <is>
          <t>PAGADA</t>
        </is>
      </c>
      <c r="F82" s="16" t="inlineStr">
        <is>
          <t>Electricos</t>
        </is>
      </c>
      <c r="G82" s="16" t="inlineStr"/>
      <c r="H82" s="16" t="inlineStr">
        <is>
          <t>BANDEJA PORTACABLE 10X8X240CM  GALVANIZADA - GALCO - UND</t>
        </is>
      </c>
      <c r="I82" s="28" t="n">
        <v>10</v>
      </c>
      <c r="J82" s="29" t="n">
        <v>110391.1</v>
      </c>
      <c r="K82" s="29" t="n">
        <v>1103911</v>
      </c>
      <c r="L82" s="16" t="inlineStr">
        <is>
          <t>IVA 19%</t>
        </is>
      </c>
      <c r="M82" s="29" t="n">
        <v>209743</v>
      </c>
      <c r="N82" s="29" t="n">
        <v>1313654</v>
      </c>
      <c r="O82" s="16" t="inlineStr">
        <is>
          <t>JULIO CESAR DEAVILA MARTINEZ</t>
        </is>
      </c>
      <c r="P82" s="16" t="inlineStr">
        <is>
          <t>ELECTRICOS DEL VALLE SAS</t>
        </is>
      </c>
      <c r="Q82" s="16" t="inlineStr">
        <is>
          <t>PLANEADA</t>
        </is>
      </c>
      <c r="R82" s="16" t="inlineStr">
        <is>
          <t>TECHO</t>
        </is>
      </c>
      <c r="S82" s="16" t="inlineStr">
        <is>
          <t>EPE18185 EPE18081 EPE17909</t>
        </is>
      </c>
    </row>
    <row r="83">
      <c r="A83" s="30" t="n">
        <v>45931.36378472222</v>
      </c>
      <c r="B83" s="18" t="n">
        <v>630</v>
      </c>
      <c r="C83" s="18" t="n">
        <v>494</v>
      </c>
      <c r="D83" s="18" t="inlineStr">
        <is>
          <t>CERRADA</t>
        </is>
      </c>
      <c r="E83" s="18" t="inlineStr">
        <is>
          <t>PAGADA</t>
        </is>
      </c>
      <c r="F83" s="18" t="inlineStr">
        <is>
          <t>Electricos</t>
        </is>
      </c>
      <c r="G83" s="18" t="inlineStr"/>
      <c r="H83" s="18" t="inlineStr">
        <is>
          <t>CONDULETA LR ROSCADA  3" - UND</t>
        </is>
      </c>
      <c r="I83" s="31" t="n">
        <v>1</v>
      </c>
      <c r="J83" s="32" t="n">
        <v>113077</v>
      </c>
      <c r="K83" s="32" t="n">
        <v>113077</v>
      </c>
      <c r="L83" s="18" t="inlineStr">
        <is>
          <t>IVA 19%</t>
        </is>
      </c>
      <c r="M83" s="32" t="n">
        <v>21485</v>
      </c>
      <c r="N83" s="32" t="n">
        <v>134562</v>
      </c>
      <c r="O83" s="18" t="inlineStr">
        <is>
          <t>JULIO CESAR DEAVILA MARTINEZ</t>
        </is>
      </c>
      <c r="P83" s="18" t="inlineStr">
        <is>
          <t>ELECTRICOS DEL VALLE SAS</t>
        </is>
      </c>
      <c r="Q83" s="18" t="inlineStr">
        <is>
          <t>PLANEADA</t>
        </is>
      </c>
      <c r="R83" s="18" t="inlineStr">
        <is>
          <t>TECHO</t>
        </is>
      </c>
      <c r="S83" s="18" t="inlineStr">
        <is>
          <t>EPE18185 EPE18081 EPE17909</t>
        </is>
      </c>
    </row>
    <row r="84">
      <c r="A84" s="27" t="n">
        <v>45931.36378472222</v>
      </c>
      <c r="B84" s="16" t="n">
        <v>630</v>
      </c>
      <c r="C84" s="16" t="n">
        <v>494</v>
      </c>
      <c r="D84" s="16" t="inlineStr">
        <is>
          <t>CERRADA</t>
        </is>
      </c>
      <c r="E84" s="16" t="inlineStr">
        <is>
          <t>PAGADA</t>
        </is>
      </c>
      <c r="F84" s="16" t="inlineStr">
        <is>
          <t>Electricos</t>
        </is>
      </c>
      <c r="G84" s="16" t="inlineStr"/>
      <c r="H84" s="16" t="inlineStr">
        <is>
          <t>CONDULETA LB ROSCADA  3" - UND</t>
        </is>
      </c>
      <c r="I84" s="28" t="n">
        <v>4</v>
      </c>
      <c r="J84" s="29" t="n">
        <v>114872.5</v>
      </c>
      <c r="K84" s="29" t="n">
        <v>459490</v>
      </c>
      <c r="L84" s="16" t="inlineStr">
        <is>
          <t>IVA 19%</t>
        </is>
      </c>
      <c r="M84" s="29" t="n">
        <v>87303</v>
      </c>
      <c r="N84" s="29" t="n">
        <v>546793</v>
      </c>
      <c r="O84" s="16" t="inlineStr">
        <is>
          <t>JULIO CESAR DEAVILA MARTINEZ</t>
        </is>
      </c>
      <c r="P84" s="16" t="inlineStr">
        <is>
          <t>ELECTRICOS DEL VALLE SAS</t>
        </is>
      </c>
      <c r="Q84" s="16" t="inlineStr">
        <is>
          <t>PLANEADA</t>
        </is>
      </c>
      <c r="R84" s="16" t="inlineStr">
        <is>
          <t>TECHO</t>
        </is>
      </c>
      <c r="S84" s="16" t="inlineStr">
        <is>
          <t>EPE18185 EPE18081 EPE17909</t>
        </is>
      </c>
    </row>
    <row r="85">
      <c r="A85" s="30" t="n">
        <v>45931.36378472222</v>
      </c>
      <c r="B85" s="18" t="n">
        <v>630</v>
      </c>
      <c r="C85" s="18" t="n">
        <v>494</v>
      </c>
      <c r="D85" s="18" t="inlineStr">
        <is>
          <t>CERRADA</t>
        </is>
      </c>
      <c r="E85" s="18" t="inlineStr">
        <is>
          <t>PAGADA</t>
        </is>
      </c>
      <c r="F85" s="18" t="inlineStr">
        <is>
          <t>Electricos</t>
        </is>
      </c>
      <c r="G85" s="18" t="inlineStr"/>
      <c r="H85" s="18" t="inlineStr">
        <is>
          <t>CONDULETA LL ROSCADA  3" - UND</t>
        </is>
      </c>
      <c r="I85" s="31" t="n">
        <v>2</v>
      </c>
      <c r="J85" s="32" t="n">
        <v>133660.5</v>
      </c>
      <c r="K85" s="32" t="n">
        <v>267321</v>
      </c>
      <c r="L85" s="18" t="inlineStr">
        <is>
          <t>IVA 19%</t>
        </is>
      </c>
      <c r="M85" s="32" t="n">
        <v>50791</v>
      </c>
      <c r="N85" s="32" t="n">
        <v>318112</v>
      </c>
      <c r="O85" s="18" t="inlineStr">
        <is>
          <t>JULIO CESAR DEAVILA MARTINEZ</t>
        </is>
      </c>
      <c r="P85" s="18" t="inlineStr">
        <is>
          <t>ELECTRICOS DEL VALLE SAS</t>
        </is>
      </c>
      <c r="Q85" s="18" t="inlineStr">
        <is>
          <t>PLANEADA</t>
        </is>
      </c>
      <c r="R85" s="18" t="inlineStr">
        <is>
          <t>TECHO</t>
        </is>
      </c>
      <c r="S85" s="18" t="inlineStr">
        <is>
          <t>EPE18185 EPE18081 EPE17909</t>
        </is>
      </c>
    </row>
    <row r="86">
      <c r="A86" s="27" t="n">
        <v>45931.36378472222</v>
      </c>
      <c r="B86" s="16" t="n">
        <v>630</v>
      </c>
      <c r="C86" s="16" t="n">
        <v>494</v>
      </c>
      <c r="D86" s="16" t="inlineStr">
        <is>
          <t>CERRADA</t>
        </is>
      </c>
      <c r="E86" s="16" t="inlineStr">
        <is>
          <t>PAGADA</t>
        </is>
      </c>
      <c r="F86" s="16" t="inlineStr">
        <is>
          <t>Electricos</t>
        </is>
      </c>
      <c r="G86" s="16" t="inlineStr"/>
      <c r="H86" s="16" t="inlineStr">
        <is>
          <t>TUBO 3" IMC GALV 3MTS5 1301-124599 - UND</t>
        </is>
      </c>
      <c r="I86" s="28" t="n">
        <v>16</v>
      </c>
      <c r="J86" s="29" t="n">
        <v>173815.93</v>
      </c>
      <c r="K86" s="29" t="n">
        <v>2781054.88</v>
      </c>
      <c r="L86" s="16" t="inlineStr">
        <is>
          <t>IVA 19%</t>
        </is>
      </c>
      <c r="M86" s="29" t="n">
        <v>528400</v>
      </c>
      <c r="N86" s="29" t="n">
        <v>3309454.88</v>
      </c>
      <c r="O86" s="16" t="inlineStr">
        <is>
          <t>JULIO CESAR DEAVILA MARTINEZ</t>
        </is>
      </c>
      <c r="P86" s="16" t="inlineStr">
        <is>
          <t>ELECTRICOS DEL VALLE SAS</t>
        </is>
      </c>
      <c r="Q86" s="16" t="inlineStr">
        <is>
          <t>PLANEADA</t>
        </is>
      </c>
      <c r="R86" s="16" t="inlineStr">
        <is>
          <t>TECHO</t>
        </is>
      </c>
      <c r="S86" s="16" t="inlineStr">
        <is>
          <t>EPE18185 EPE18081 EPE17909</t>
        </is>
      </c>
    </row>
    <row r="87">
      <c r="A87" s="30" t="n">
        <v>45926.37336805555</v>
      </c>
      <c r="B87" s="18" t="n">
        <v>577</v>
      </c>
      <c r="C87" s="18" t="n">
        <v>456</v>
      </c>
      <c r="D87" s="18" t="inlineStr">
        <is>
          <t>CERRADA</t>
        </is>
      </c>
      <c r="E87" s="18" t="inlineStr">
        <is>
          <t>PAGADA</t>
        </is>
      </c>
      <c r="F87" s="18" t="inlineStr">
        <is>
          <t>Servicios: Subcontratos</t>
        </is>
      </c>
      <c r="G87" s="18" t="inlineStr"/>
      <c r="H87" s="18" t="inlineStr">
        <is>
          <t>SUMINSITRO E INSTALACION DE ANCLAJE ALTIFIX TIPO D EN ACERO INOXIDABLE  - UND</t>
        </is>
      </c>
      <c r="I87" s="31" t="n">
        <v>4</v>
      </c>
      <c r="J87" s="32" t="n">
        <v>510000</v>
      </c>
      <c r="K87" s="32" t="n">
        <v>2040000</v>
      </c>
      <c r="L87" s="18" t="inlineStr">
        <is>
          <t>IVA 19%</t>
        </is>
      </c>
      <c r="M87" s="32" t="n">
        <v>387600</v>
      </c>
      <c r="N87" s="32" t="n">
        <v>2427600</v>
      </c>
      <c r="O87" s="18" t="inlineStr">
        <is>
          <t>JULIO CESAR DEAVILA MARTINEZ</t>
        </is>
      </c>
      <c r="P87" s="18" t="inlineStr">
        <is>
          <t>SKALER S.A.S.</t>
        </is>
      </c>
      <c r="Q87" s="18" t="inlineStr">
        <is>
          <t>PLANEADA</t>
        </is>
      </c>
      <c r="R87" s="18" t="inlineStr">
        <is>
          <t>TECHO</t>
        </is>
      </c>
      <c r="S87" s="18" t="inlineStr">
        <is>
          <t>COTIZACION No 6499 CES- 2025 TA</t>
        </is>
      </c>
    </row>
    <row r="88">
      <c r="A88" s="27" t="n">
        <v>45926.3680787037</v>
      </c>
      <c r="B88" s="16" t="n">
        <v>576</v>
      </c>
      <c r="C88" s="16" t="n">
        <v>441</v>
      </c>
      <c r="D88" s="16" t="inlineStr">
        <is>
          <t>CERRADA</t>
        </is>
      </c>
      <c r="E88" s="16" t="inlineStr">
        <is>
          <t>PAGADA</t>
        </is>
      </c>
      <c r="F88" s="16" t="inlineStr">
        <is>
          <t>Obra Civil</t>
        </is>
      </c>
      <c r="G88" s="16" t="inlineStr"/>
      <c r="H88" s="16" t="inlineStr">
        <is>
          <t>MALLA ELECTROSOLDADA 6MM - UND</t>
        </is>
      </c>
      <c r="I88" s="28" t="n">
        <v>2</v>
      </c>
      <c r="J88" s="29" t="n">
        <v>186000</v>
      </c>
      <c r="K88" s="29" t="n">
        <v>372000</v>
      </c>
      <c r="L88" s="16" t="inlineStr">
        <is>
          <t>IVA 19%</t>
        </is>
      </c>
      <c r="M88" s="29" t="n">
        <v>70680</v>
      </c>
      <c r="N88" s="29" t="n">
        <v>442680</v>
      </c>
      <c r="O88" s="16" t="inlineStr">
        <is>
          <t>JULIO CESAR DEAVILA MARTINEZ</t>
        </is>
      </c>
      <c r="P88" s="16" t="inlineStr">
        <is>
          <t>FERREPLASTICOS CALI S.A.S</t>
        </is>
      </c>
      <c r="Q88" s="16" t="inlineStr">
        <is>
          <t>EMERGENCIA</t>
        </is>
      </c>
      <c r="R88" s="16" t="inlineStr">
        <is>
          <t>TECHO</t>
        </is>
      </c>
      <c r="S88" s="16" t="inlineStr">
        <is>
          <t>EC 132899</t>
        </is>
      </c>
    </row>
    <row r="89">
      <c r="A89" s="30" t="n">
        <v>45918.48539351852</v>
      </c>
      <c r="B89" s="18" t="n">
        <v>522</v>
      </c>
      <c r="C89" s="18" t="n">
        <v>389</v>
      </c>
      <c r="D89" s="18" t="inlineStr">
        <is>
          <t>CERRADA</t>
        </is>
      </c>
      <c r="E89" s="18" t="inlineStr">
        <is>
          <t>PAGADA</t>
        </is>
      </c>
      <c r="F89" s="18" t="inlineStr">
        <is>
          <t>Servicios: viáticos</t>
        </is>
      </c>
      <c r="G89" s="18" t="inlineStr"/>
      <c r="H89" s="18" t="inlineStr">
        <is>
          <t>SERVICIO DE RESTAURANTE - UND</t>
        </is>
      </c>
      <c r="I89" s="31" t="n">
        <v>16</v>
      </c>
      <c r="J89" s="32" t="n">
        <v>35000</v>
      </c>
      <c r="K89" s="32" t="n">
        <v>560000</v>
      </c>
      <c r="L89" s="18" t="inlineStr">
        <is>
          <t>IVA 19%</t>
        </is>
      </c>
      <c r="M89" s="32" t="n">
        <v>106400</v>
      </c>
      <c r="N89" s="32" t="n">
        <v>666400</v>
      </c>
      <c r="O89" s="18" t="inlineStr">
        <is>
          <t>JULIO CESAR DEAVILA MARTINEZ</t>
        </is>
      </c>
      <c r="P89" s="18" t="inlineStr">
        <is>
          <t>TEXWORKS S.A.S.</t>
        </is>
      </c>
      <c r="Q89" s="18" t="inlineStr">
        <is>
          <t>EMERGENCIA</t>
        </is>
      </c>
      <c r="R89" s="18" t="inlineStr">
        <is>
          <t>TECHO</t>
        </is>
      </c>
      <c r="S89" s="18" t="inlineStr">
        <is>
          <t>COTIZACION</t>
        </is>
      </c>
    </row>
    <row r="90">
      <c r="A90" s="27" t="n">
        <v>45918.48539351852</v>
      </c>
      <c r="B90" s="16" t="n">
        <v>522</v>
      </c>
      <c r="C90" s="16" t="n">
        <v>389</v>
      </c>
      <c r="D90" s="16" t="inlineStr">
        <is>
          <t>CERRADA</t>
        </is>
      </c>
      <c r="E90" s="16" t="inlineStr">
        <is>
          <t>PAGADA</t>
        </is>
      </c>
      <c r="F90" s="16" t="inlineStr">
        <is>
          <t>Servicios: viáticos</t>
        </is>
      </c>
      <c r="G90" s="16" t="inlineStr"/>
      <c r="H90" s="16" t="inlineStr">
        <is>
          <t>SERVICIO DE HOTEL - UND</t>
        </is>
      </c>
      <c r="I90" s="28" t="n">
        <v>11</v>
      </c>
      <c r="J90" s="29" t="n">
        <v>60000</v>
      </c>
      <c r="K90" s="29" t="n">
        <v>660000</v>
      </c>
      <c r="L90" s="16" t="inlineStr">
        <is>
          <t>IVA 19%</t>
        </is>
      </c>
      <c r="M90" s="29" t="n">
        <v>125400</v>
      </c>
      <c r="N90" s="29" t="n">
        <v>785400</v>
      </c>
      <c r="O90" s="16" t="inlineStr">
        <is>
          <t>JULIO CESAR DEAVILA MARTINEZ</t>
        </is>
      </c>
      <c r="P90" s="16" t="inlineStr">
        <is>
          <t>TEXWORKS S.A.S.</t>
        </is>
      </c>
      <c r="Q90" s="16" t="inlineStr">
        <is>
          <t>EMERGENCIA</t>
        </is>
      </c>
      <c r="R90" s="16" t="inlineStr">
        <is>
          <t>TECHO</t>
        </is>
      </c>
      <c r="S90" s="16" t="inlineStr">
        <is>
          <t>COTIZACION</t>
        </is>
      </c>
    </row>
    <row r="91">
      <c r="A91" s="30" t="n">
        <v>45917.50831018519</v>
      </c>
      <c r="B91" s="18" t="n">
        <v>515</v>
      </c>
      <c r="C91" s="18" t="n">
        <v>382</v>
      </c>
      <c r="D91" s="18" t="inlineStr">
        <is>
          <t>CERRADA</t>
        </is>
      </c>
      <c r="E91" s="18" t="inlineStr">
        <is>
          <t>PAGADA</t>
        </is>
      </c>
      <c r="F91" s="18" t="inlineStr">
        <is>
          <t>Servicios: Fletes</t>
        </is>
      </c>
      <c r="G91" s="18" t="inlineStr"/>
      <c r="H91" s="18" t="inlineStr">
        <is>
          <t>FLETE - UND</t>
        </is>
      </c>
      <c r="I91" s="31" t="n">
        <v>1</v>
      </c>
      <c r="J91" s="32" t="n">
        <v>101011</v>
      </c>
      <c r="K91" s="32" t="n">
        <v>101011</v>
      </c>
      <c r="L91" s="18" t="inlineStr"/>
      <c r="M91" s="32" t="n">
        <v>0</v>
      </c>
      <c r="N91" s="32" t="n">
        <v>101011</v>
      </c>
      <c r="O91" s="18" t="inlineStr">
        <is>
          <t>JULIO CESAR DEAVILA MARTINEZ</t>
        </is>
      </c>
      <c r="P91" s="18" t="inlineStr">
        <is>
          <t>VAIRON ALEJANDRO URBANO ORTEGA</t>
        </is>
      </c>
      <c r="Q91" s="18" t="inlineStr">
        <is>
          <t>EMERGENCIA</t>
        </is>
      </c>
      <c r="R91" s="18" t="inlineStr">
        <is>
          <t>TECHO</t>
        </is>
      </c>
      <c r="S91" s="18" t="inlineStr">
        <is>
          <t>CUENTA DE COBRO</t>
        </is>
      </c>
    </row>
    <row r="92">
      <c r="A92" s="27" t="n">
        <v>45912.6044212963</v>
      </c>
      <c r="B92" s="16" t="n">
        <v>479</v>
      </c>
      <c r="C92" s="16" t="n">
        <v>374</v>
      </c>
      <c r="D92" s="16" t="inlineStr">
        <is>
          <t>CERRADA</t>
        </is>
      </c>
      <c r="E92" s="16" t="inlineStr">
        <is>
          <t>PAGADA</t>
        </is>
      </c>
      <c r="F92" s="16" t="inlineStr">
        <is>
          <t>Servicios: viáticos</t>
        </is>
      </c>
      <c r="G92" s="16" t="inlineStr"/>
      <c r="H92" s="16" t="inlineStr">
        <is>
          <t>SERVICIO DE HOTEL - UND</t>
        </is>
      </c>
      <c r="I92" s="28" t="n">
        <v>5</v>
      </c>
      <c r="J92" s="29" t="n">
        <v>60000</v>
      </c>
      <c r="K92" s="29" t="n">
        <v>300000</v>
      </c>
      <c r="L92" s="16" t="inlineStr"/>
      <c r="M92" s="29" t="n">
        <v>0</v>
      </c>
      <c r="N92" s="29" t="n">
        <v>300000</v>
      </c>
      <c r="O92" s="16" t="inlineStr">
        <is>
          <t>JULIO CESAR DEAVILA MARTINEZ</t>
        </is>
      </c>
      <c r="P92" s="16" t="inlineStr">
        <is>
          <t>TEXWORKS S.A.S.</t>
        </is>
      </c>
      <c r="Q92" s="16" t="inlineStr">
        <is>
          <t>EMERGENCIA</t>
        </is>
      </c>
      <c r="R92" s="16" t="inlineStr">
        <is>
          <t>TECHO</t>
        </is>
      </c>
      <c r="S92" s="16" t="inlineStr">
        <is>
          <t>COTIZACION HOTEL</t>
        </is>
      </c>
    </row>
    <row r="93">
      <c r="A93" s="30" t="n">
        <v>45911.66212962963</v>
      </c>
      <c r="B93" s="18" t="n">
        <v>471</v>
      </c>
      <c r="C93" s="18" t="n">
        <v>351</v>
      </c>
      <c r="D93" s="18" t="inlineStr">
        <is>
          <t>CERRADA</t>
        </is>
      </c>
      <c r="E93" s="18" t="inlineStr">
        <is>
          <t>PAGADA</t>
        </is>
      </c>
      <c r="F93" s="18" t="inlineStr">
        <is>
          <t>Obra Civil</t>
        </is>
      </c>
      <c r="G93" s="18" t="inlineStr"/>
      <c r="H93" s="18" t="inlineStr">
        <is>
          <t>POLISOMBRA TELA BLANCA O VERDE (S-64)  MT GENERICO - UND</t>
        </is>
      </c>
      <c r="I93" s="31" t="n">
        <v>16</v>
      </c>
      <c r="J93" s="32" t="n">
        <v>1800</v>
      </c>
      <c r="K93" s="32" t="n">
        <v>28800</v>
      </c>
      <c r="L93" s="18" t="inlineStr">
        <is>
          <t>IVA 19%</t>
        </is>
      </c>
      <c r="M93" s="32" t="n">
        <v>5472</v>
      </c>
      <c r="N93" s="32" t="n">
        <v>34272</v>
      </c>
      <c r="O93" s="18" t="inlineStr">
        <is>
          <t>JULIO CESAR DEAVILA MARTINEZ</t>
        </is>
      </c>
      <c r="P93" s="18" t="inlineStr">
        <is>
          <t>FERREPLASTICOS CALI S.A.S</t>
        </is>
      </c>
      <c r="Q93" s="18" t="inlineStr">
        <is>
          <t>EMERGENCIA</t>
        </is>
      </c>
      <c r="R93" s="18" t="inlineStr">
        <is>
          <t>TECHO</t>
        </is>
      </c>
      <c r="S93" s="18" t="inlineStr">
        <is>
          <t>EC131781</t>
        </is>
      </c>
    </row>
    <row r="94">
      <c r="A94" s="27" t="n">
        <v>45911.66212962963</v>
      </c>
      <c r="B94" s="16" t="n">
        <v>471</v>
      </c>
      <c r="C94" s="16" t="n">
        <v>351</v>
      </c>
      <c r="D94" s="16" t="inlineStr">
        <is>
          <t>CERRADA</t>
        </is>
      </c>
      <c r="E94" s="16" t="inlineStr">
        <is>
          <t>PAGADA</t>
        </is>
      </c>
      <c r="F94" s="16" t="inlineStr">
        <is>
          <t>Obra Civil</t>
        </is>
      </c>
      <c r="G94" s="16" t="inlineStr"/>
      <c r="H94" s="16" t="inlineStr">
        <is>
          <t>LISTON DE MADERA 4 X 4 X 300 CM - UND</t>
        </is>
      </c>
      <c r="I94" s="28" t="n">
        <v>12</v>
      </c>
      <c r="J94" s="29" t="n">
        <v>8000</v>
      </c>
      <c r="K94" s="29" t="n">
        <v>96000</v>
      </c>
      <c r="L94" s="16" t="inlineStr">
        <is>
          <t>IVA 19%</t>
        </is>
      </c>
      <c r="M94" s="29" t="n">
        <v>18240</v>
      </c>
      <c r="N94" s="29" t="n">
        <v>114240</v>
      </c>
      <c r="O94" s="16" t="inlineStr">
        <is>
          <t>JULIO CESAR DEAVILA MARTINEZ</t>
        </is>
      </c>
      <c r="P94" s="16" t="inlineStr">
        <is>
          <t>FERREPLASTICOS CALI S.A.S</t>
        </is>
      </c>
      <c r="Q94" s="16" t="inlineStr">
        <is>
          <t>EMERGENCIA</t>
        </is>
      </c>
      <c r="R94" s="16" t="inlineStr">
        <is>
          <t>TECHO</t>
        </is>
      </c>
      <c r="S94" s="16" t="inlineStr">
        <is>
          <t>EC131781</t>
        </is>
      </c>
    </row>
    <row r="95">
      <c r="A95" s="30" t="n">
        <v>45911.66212962963</v>
      </c>
      <c r="B95" s="18" t="n">
        <v>471</v>
      </c>
      <c r="C95" s="18" t="n">
        <v>351</v>
      </c>
      <c r="D95" s="18" t="inlineStr">
        <is>
          <t>CERRADA</t>
        </is>
      </c>
      <c r="E95" s="18" t="inlineStr">
        <is>
          <t>PAGADA</t>
        </is>
      </c>
      <c r="F95" s="18" t="inlineStr">
        <is>
          <t>Obra Civil</t>
        </is>
      </c>
      <c r="G95" s="18" t="inlineStr"/>
      <c r="H95" s="18" t="inlineStr">
        <is>
          <t>GUADUA X 2.50M - UND</t>
        </is>
      </c>
      <c r="I95" s="31" t="n">
        <v>8</v>
      </c>
      <c r="J95" s="32" t="n">
        <v>8500</v>
      </c>
      <c r="K95" s="32" t="n">
        <v>68000</v>
      </c>
      <c r="L95" s="18" t="inlineStr"/>
      <c r="M95" s="32" t="n">
        <v>0</v>
      </c>
      <c r="N95" s="32" t="n">
        <v>68000</v>
      </c>
      <c r="O95" s="18" t="inlineStr">
        <is>
          <t>JULIO CESAR DEAVILA MARTINEZ</t>
        </is>
      </c>
      <c r="P95" s="18" t="inlineStr">
        <is>
          <t>FERREPLASTICOS CALI S.A.S</t>
        </is>
      </c>
      <c r="Q95" s="18" t="inlineStr">
        <is>
          <t>EMERGENCIA</t>
        </is>
      </c>
      <c r="R95" s="18" t="inlineStr">
        <is>
          <t>TECHO</t>
        </is>
      </c>
      <c r="S95" s="18" t="inlineStr">
        <is>
          <t>EC131781</t>
        </is>
      </c>
    </row>
    <row r="96">
      <c r="A96" s="27" t="n">
        <v>45911.66212962963</v>
      </c>
      <c r="B96" s="16" t="n">
        <v>471</v>
      </c>
      <c r="C96" s="16" t="n">
        <v>351</v>
      </c>
      <c r="D96" s="16" t="inlineStr">
        <is>
          <t>CERRADA</t>
        </is>
      </c>
      <c r="E96" s="16" t="inlineStr">
        <is>
          <t>PAGADA</t>
        </is>
      </c>
      <c r="F96" s="16" t="inlineStr">
        <is>
          <t>Obra Civil</t>
        </is>
      </c>
      <c r="G96" s="16" t="inlineStr"/>
      <c r="H96" s="16" t="inlineStr">
        <is>
          <t>TABLA ORDINARIA 3 MT X 30 CM (BOD)  UND GENERICO - UND</t>
        </is>
      </c>
      <c r="I96" s="28" t="n">
        <v>4</v>
      </c>
      <c r="J96" s="29" t="n">
        <v>25000</v>
      </c>
      <c r="K96" s="29" t="n">
        <v>100000</v>
      </c>
      <c r="L96" s="16" t="inlineStr">
        <is>
          <t>IVA 19%</t>
        </is>
      </c>
      <c r="M96" s="29" t="n">
        <v>19000</v>
      </c>
      <c r="N96" s="29" t="n">
        <v>119000</v>
      </c>
      <c r="O96" s="16" t="inlineStr">
        <is>
          <t>JULIO CESAR DEAVILA MARTINEZ</t>
        </is>
      </c>
      <c r="P96" s="16" t="inlineStr">
        <is>
          <t>FERREPLASTICOS CALI S.A.S</t>
        </is>
      </c>
      <c r="Q96" s="16" t="inlineStr">
        <is>
          <t>EMERGENCIA</t>
        </is>
      </c>
      <c r="R96" s="16" t="inlineStr">
        <is>
          <t>TECHO</t>
        </is>
      </c>
      <c r="S96" s="16" t="inlineStr">
        <is>
          <t>EC131781</t>
        </is>
      </c>
    </row>
    <row r="97">
      <c r="A97" s="30" t="n">
        <v>45911.66212962963</v>
      </c>
      <c r="B97" s="18" t="n">
        <v>471</v>
      </c>
      <c r="C97" s="18" t="n">
        <v>351</v>
      </c>
      <c r="D97" s="18" t="inlineStr">
        <is>
          <t>CERRADA</t>
        </is>
      </c>
      <c r="E97" s="18" t="inlineStr">
        <is>
          <t>PAGADA</t>
        </is>
      </c>
      <c r="F97" s="18" t="inlineStr">
        <is>
          <t>Obra Civil</t>
        </is>
      </c>
      <c r="G97" s="18" t="inlineStr"/>
      <c r="H97" s="18" t="inlineStr">
        <is>
          <t>CEMENTO GRIS X BULTO - UND</t>
        </is>
      </c>
      <c r="I97" s="31" t="n">
        <v>2</v>
      </c>
      <c r="J97" s="32" t="n">
        <v>28000</v>
      </c>
      <c r="K97" s="32" t="n">
        <v>56000</v>
      </c>
      <c r="L97" s="18" t="inlineStr">
        <is>
          <t>IVA 19%</t>
        </is>
      </c>
      <c r="M97" s="32" t="n">
        <v>10640</v>
      </c>
      <c r="N97" s="32" t="n">
        <v>66640</v>
      </c>
      <c r="O97" s="18" t="inlineStr">
        <is>
          <t>JULIO CESAR DEAVILA MARTINEZ</t>
        </is>
      </c>
      <c r="P97" s="18" t="inlineStr">
        <is>
          <t>FERREPLASTICOS CALI S.A.S</t>
        </is>
      </c>
      <c r="Q97" s="18" t="inlineStr">
        <is>
          <t>EMERGENCIA</t>
        </is>
      </c>
      <c r="R97" s="18" t="inlineStr">
        <is>
          <t>TECHO</t>
        </is>
      </c>
      <c r="S97" s="18" t="inlineStr">
        <is>
          <t>EC131781</t>
        </is>
      </c>
    </row>
    <row r="98">
      <c r="A98" s="27" t="n">
        <v>45908.60721064815</v>
      </c>
      <c r="B98" s="16" t="n">
        <v>427</v>
      </c>
      <c r="C98" s="16" t="n">
        <v>311</v>
      </c>
      <c r="D98" s="16" t="inlineStr">
        <is>
          <t>CERRADA</t>
        </is>
      </c>
      <c r="E98" s="16" t="inlineStr">
        <is>
          <t>PAGADA</t>
        </is>
      </c>
      <c r="F98" s="16" t="inlineStr">
        <is>
          <t>Servicio</t>
        </is>
      </c>
      <c r="G98" s="16" t="inlineStr">
        <is>
          <t>Refuerzo Estructura</t>
        </is>
      </c>
      <c r="H98" s="16" t="inlineStr">
        <is>
          <t>ALQUILER MEZCLADORA X DÍA - UND</t>
        </is>
      </c>
      <c r="I98" s="28" t="n">
        <v>12</v>
      </c>
      <c r="J98" s="29" t="n">
        <v>52300</v>
      </c>
      <c r="K98" s="29" t="n">
        <v>627600</v>
      </c>
      <c r="L98" s="16" t="inlineStr">
        <is>
          <t>IVA 19%</t>
        </is>
      </c>
      <c r="M98" s="29" t="n">
        <v>119244</v>
      </c>
      <c r="N98" s="29" t="n">
        <v>746844</v>
      </c>
      <c r="O98" s="16" t="inlineStr">
        <is>
          <t>JULIO CESAR DEAVILA MARTINEZ</t>
        </is>
      </c>
      <c r="P98" s="16" t="inlineStr">
        <is>
          <t>CENTRALQUIPOS S.A.S. BIC</t>
        </is>
      </c>
      <c r="Q98" s="16" t="inlineStr">
        <is>
          <t>PLANEADA</t>
        </is>
      </c>
      <c r="R98" s="16" t="inlineStr">
        <is>
          <t>TECHO</t>
        </is>
      </c>
      <c r="S98" s="16" t="inlineStr">
        <is>
          <t>COTIZACION CENTRALEQUIPOS CONCRETADORA</t>
        </is>
      </c>
    </row>
    <row r="99">
      <c r="A99" s="30" t="n">
        <v>45908.60721064815</v>
      </c>
      <c r="B99" s="18" t="n">
        <v>427</v>
      </c>
      <c r="C99" s="18" t="n">
        <v>311</v>
      </c>
      <c r="D99" s="18" t="inlineStr">
        <is>
          <t>CERRADA</t>
        </is>
      </c>
      <c r="E99" s="18" t="inlineStr">
        <is>
          <t>PAGADA</t>
        </is>
      </c>
      <c r="F99" s="18" t="inlineStr">
        <is>
          <t>Servicio</t>
        </is>
      </c>
      <c r="G99" s="18" t="inlineStr">
        <is>
          <t>Flete</t>
        </is>
      </c>
      <c r="H99" s="18" t="inlineStr">
        <is>
          <t>FLETE - UND</t>
        </is>
      </c>
      <c r="I99" s="31" t="n">
        <v>2</v>
      </c>
      <c r="J99" s="32" t="n">
        <v>90000</v>
      </c>
      <c r="K99" s="32" t="n">
        <v>180000</v>
      </c>
      <c r="L99" s="18" t="inlineStr">
        <is>
          <t>IVA 19%</t>
        </is>
      </c>
      <c r="M99" s="32" t="n">
        <v>34200</v>
      </c>
      <c r="N99" s="32" t="n">
        <v>214200</v>
      </c>
      <c r="O99" s="18" t="inlineStr">
        <is>
          <t>JULIO CESAR DEAVILA MARTINEZ</t>
        </is>
      </c>
      <c r="P99" s="18" t="inlineStr">
        <is>
          <t>CENTRALQUIPOS S.A.S. BIC</t>
        </is>
      </c>
      <c r="Q99" s="18" t="inlineStr">
        <is>
          <t>PLANEADA</t>
        </is>
      </c>
      <c r="R99" s="18" t="inlineStr">
        <is>
          <t>TECHO</t>
        </is>
      </c>
      <c r="S99" s="18" t="inlineStr">
        <is>
          <t>COTIZACION CENTRALEQUIPOS CONCRETADORA</t>
        </is>
      </c>
    </row>
    <row r="100">
      <c r="A100" s="27" t="n">
        <v>45908.6059375</v>
      </c>
      <c r="B100" s="16" t="n">
        <v>425</v>
      </c>
      <c r="C100" s="16" t="n">
        <v>310</v>
      </c>
      <c r="D100" s="16" t="inlineStr">
        <is>
          <t>CERRADA</t>
        </is>
      </c>
      <c r="E100" s="16" t="inlineStr">
        <is>
          <t>PAGADA</t>
        </is>
      </c>
      <c r="F100" s="16" t="inlineStr">
        <is>
          <t>Servicio</t>
        </is>
      </c>
      <c r="G100" s="16" t="inlineStr">
        <is>
          <t>Refuerzo Estructura</t>
        </is>
      </c>
      <c r="H100" s="16" t="inlineStr">
        <is>
          <t>ALQUILER PLUMA GRUA CON GUAYA DE 60 A 100M CON BANDEJA - UND</t>
        </is>
      </c>
      <c r="I100" s="28" t="n">
        <v>5</v>
      </c>
      <c r="J100" s="29" t="n">
        <v>48600</v>
      </c>
      <c r="K100" s="29" t="n">
        <v>243000</v>
      </c>
      <c r="L100" s="16" t="inlineStr">
        <is>
          <t>IVA 19%</t>
        </is>
      </c>
      <c r="M100" s="29" t="n">
        <v>46170</v>
      </c>
      <c r="N100" s="29" t="n">
        <v>289170</v>
      </c>
      <c r="O100" s="16" t="inlineStr">
        <is>
          <t>JULIO CESAR DEAVILA MARTINEZ</t>
        </is>
      </c>
      <c r="P100" s="16" t="inlineStr">
        <is>
          <t>CENTRALQUIPOS S.A.S. BIC</t>
        </is>
      </c>
      <c r="Q100" s="16" t="inlineStr">
        <is>
          <t>PLANEADA</t>
        </is>
      </c>
      <c r="R100" s="16" t="inlineStr">
        <is>
          <t>TECHO</t>
        </is>
      </c>
      <c r="S100" s="16" t="inlineStr">
        <is>
          <t>COTIZACION PLUMA GRUA</t>
        </is>
      </c>
    </row>
    <row r="101">
      <c r="A101" s="30" t="n">
        <v>45908.6059375</v>
      </c>
      <c r="B101" s="18" t="n">
        <v>425</v>
      </c>
      <c r="C101" s="18" t="n">
        <v>310</v>
      </c>
      <c r="D101" s="18" t="inlineStr">
        <is>
          <t>CERRADA</t>
        </is>
      </c>
      <c r="E101" s="18" t="inlineStr">
        <is>
          <t>PAGADA</t>
        </is>
      </c>
      <c r="F101" s="18" t="inlineStr">
        <is>
          <t>Servicio</t>
        </is>
      </c>
      <c r="G101" s="18" t="inlineStr">
        <is>
          <t>Flete</t>
        </is>
      </c>
      <c r="H101" s="18" t="inlineStr">
        <is>
          <t>FLETE - UND</t>
        </is>
      </c>
      <c r="I101" s="31" t="n">
        <v>2</v>
      </c>
      <c r="J101" s="32" t="n">
        <v>200000</v>
      </c>
      <c r="K101" s="32" t="n">
        <v>400000</v>
      </c>
      <c r="L101" s="18" t="inlineStr">
        <is>
          <t>IVA 19%</t>
        </is>
      </c>
      <c r="M101" s="32" t="n">
        <v>76000</v>
      </c>
      <c r="N101" s="32" t="n">
        <v>476000</v>
      </c>
      <c r="O101" s="18" t="inlineStr">
        <is>
          <t>JULIO CESAR DEAVILA MARTINEZ</t>
        </is>
      </c>
      <c r="P101" s="18" t="inlineStr">
        <is>
          <t>CENTRALQUIPOS S.A.S. BIC</t>
        </is>
      </c>
      <c r="Q101" s="18" t="inlineStr">
        <is>
          <t>PLANEADA</t>
        </is>
      </c>
      <c r="R101" s="18" t="inlineStr">
        <is>
          <t>TECHO</t>
        </is>
      </c>
      <c r="S101" s="18" t="inlineStr">
        <is>
          <t>COTIZACION PLUMA GRUA</t>
        </is>
      </c>
    </row>
    <row r="102">
      <c r="A102" s="27" t="n">
        <v>45904.39917824074</v>
      </c>
      <c r="B102" s="16" t="n">
        <v>409</v>
      </c>
      <c r="C102" s="16" t="n">
        <v>309</v>
      </c>
      <c r="D102" s="16" t="inlineStr">
        <is>
          <t>CERRADA</t>
        </is>
      </c>
      <c r="E102" s="16" t="inlineStr">
        <is>
          <t>PAGADA</t>
        </is>
      </c>
      <c r="F102" s="16" t="inlineStr">
        <is>
          <t>Epp</t>
        </is>
      </c>
      <c r="G102" s="16" t="inlineStr"/>
      <c r="H102" s="16" t="inlineStr">
        <is>
          <t>GUANTE ANTICORTE TALLA 8 MARCA ZUBIOLA - UND</t>
        </is>
      </c>
      <c r="I102" s="28" t="n">
        <v>8</v>
      </c>
      <c r="J102" s="29" t="n">
        <v>19425</v>
      </c>
      <c r="K102" s="29" t="n">
        <v>155400</v>
      </c>
      <c r="L102" s="16" t="inlineStr">
        <is>
          <t>IVA 19%</t>
        </is>
      </c>
      <c r="M102" s="29" t="n">
        <v>29526</v>
      </c>
      <c r="N102" s="29" t="n">
        <v>184926</v>
      </c>
      <c r="O102" s="16" t="inlineStr">
        <is>
          <t>JULIO CESAR DEAVILA MARTINEZ</t>
        </is>
      </c>
      <c r="P102" s="16" t="inlineStr">
        <is>
          <t>FERRESOL S.A.S</t>
        </is>
      </c>
      <c r="Q102" s="16" t="inlineStr">
        <is>
          <t>URGENCIA</t>
        </is>
      </c>
      <c r="R102" s="16" t="inlineStr">
        <is>
          <t>ADMINISTRATIVO</t>
        </is>
      </c>
      <c r="S102" s="16" t="inlineStr">
        <is>
          <t>Z - 001 - 6800</t>
        </is>
      </c>
    </row>
    <row r="103">
      <c r="A103" s="30" t="n">
        <v>45904.39887731482</v>
      </c>
      <c r="B103" s="18" t="n">
        <v>408</v>
      </c>
      <c r="C103" s="18" t="n">
        <v>309</v>
      </c>
      <c r="D103" s="18" t="inlineStr">
        <is>
          <t>CERRADA</t>
        </is>
      </c>
      <c r="E103" s="18" t="inlineStr">
        <is>
          <t>PAGADA</t>
        </is>
      </c>
      <c r="F103" s="18" t="inlineStr">
        <is>
          <t>Epp</t>
        </is>
      </c>
      <c r="G103" s="18" t="inlineStr"/>
      <c r="H103" s="18" t="inlineStr">
        <is>
          <t>PROTECTOR AUDITIVO DE INSERCIÓN EN SILICONA - PAR</t>
        </is>
      </c>
      <c r="I103" s="31" t="n">
        <v>5</v>
      </c>
      <c r="J103" s="32" t="n">
        <v>1600</v>
      </c>
      <c r="K103" s="32" t="n">
        <v>8000</v>
      </c>
      <c r="L103" s="18" t="inlineStr">
        <is>
          <t>IVA 19%</t>
        </is>
      </c>
      <c r="M103" s="32" t="n">
        <v>1520</v>
      </c>
      <c r="N103" s="32" t="n">
        <v>9520</v>
      </c>
      <c r="O103" s="18" t="inlineStr">
        <is>
          <t>JULIO CESAR DEAVILA MARTINEZ</t>
        </is>
      </c>
      <c r="P103" s="18" t="inlineStr">
        <is>
          <t>DISTRITO E SAS</t>
        </is>
      </c>
      <c r="Q103" s="18" t="inlineStr">
        <is>
          <t>URGENCIA</t>
        </is>
      </c>
      <c r="R103" s="18" t="inlineStr">
        <is>
          <t>ADMINISTRATIVO</t>
        </is>
      </c>
      <c r="S103" s="18" t="inlineStr">
        <is>
          <t>1334</t>
        </is>
      </c>
    </row>
    <row r="104">
      <c r="A104" s="27" t="n">
        <v>45904.39887731482</v>
      </c>
      <c r="B104" s="16" t="n">
        <v>408</v>
      </c>
      <c r="C104" s="16" t="n">
        <v>309</v>
      </c>
      <c r="D104" s="16" t="inlineStr">
        <is>
          <t>CERRADA</t>
        </is>
      </c>
      <c r="E104" s="16" t="inlineStr">
        <is>
          <t>PAGADA</t>
        </is>
      </c>
      <c r="F104" s="16" t="inlineStr">
        <is>
          <t>Epp</t>
        </is>
      </c>
      <c r="G104" s="16" t="inlineStr"/>
      <c r="H104" s="16" t="inlineStr">
        <is>
          <t>BARBUQUEJO 4 PUNTOS DE CINTA SUAVE - UND</t>
        </is>
      </c>
      <c r="I104" s="28" t="n">
        <v>4</v>
      </c>
      <c r="J104" s="29" t="n">
        <v>4900</v>
      </c>
      <c r="K104" s="29" t="n">
        <v>19600</v>
      </c>
      <c r="L104" s="16" t="inlineStr">
        <is>
          <t>IVA 19%</t>
        </is>
      </c>
      <c r="M104" s="29" t="n">
        <v>3724</v>
      </c>
      <c r="N104" s="29" t="n">
        <v>23324</v>
      </c>
      <c r="O104" s="16" t="inlineStr">
        <is>
          <t>JULIO CESAR DEAVILA MARTINEZ</t>
        </is>
      </c>
      <c r="P104" s="16" t="inlineStr">
        <is>
          <t>DISTRITO E SAS</t>
        </is>
      </c>
      <c r="Q104" s="16" t="inlineStr">
        <is>
          <t>URGENCIA</t>
        </is>
      </c>
      <c r="R104" s="16" t="inlineStr">
        <is>
          <t>ADMINISTRATIVO</t>
        </is>
      </c>
      <c r="S104" s="16" t="inlineStr">
        <is>
          <t>1334</t>
        </is>
      </c>
    </row>
    <row r="105">
      <c r="A105" s="30" t="n">
        <v>45904.39887731482</v>
      </c>
      <c r="B105" s="18" t="n">
        <v>408</v>
      </c>
      <c r="C105" s="18" t="n">
        <v>309</v>
      </c>
      <c r="D105" s="18" t="inlineStr">
        <is>
          <t>CERRADA</t>
        </is>
      </c>
      <c r="E105" s="18" t="inlineStr">
        <is>
          <t>PAGADA</t>
        </is>
      </c>
      <c r="F105" s="18" t="inlineStr">
        <is>
          <t>Epp</t>
        </is>
      </c>
      <c r="G105" s="18" t="inlineStr"/>
      <c r="H105" s="18" t="inlineStr">
        <is>
          <t>GAFA B105 LENTE CLARO - UND</t>
        </is>
      </c>
      <c r="I105" s="31" t="n">
        <v>8</v>
      </c>
      <c r="J105" s="32" t="n">
        <v>5500</v>
      </c>
      <c r="K105" s="32" t="n">
        <v>44000</v>
      </c>
      <c r="L105" s="18" t="inlineStr">
        <is>
          <t>IVA 19%</t>
        </is>
      </c>
      <c r="M105" s="32" t="n">
        <v>8360</v>
      </c>
      <c r="N105" s="32" t="n">
        <v>52360</v>
      </c>
      <c r="O105" s="18" t="inlineStr">
        <is>
          <t>JULIO CESAR DEAVILA MARTINEZ</t>
        </is>
      </c>
      <c r="P105" s="18" t="inlineStr">
        <is>
          <t>DISTRITO E SAS</t>
        </is>
      </c>
      <c r="Q105" s="18" t="inlineStr">
        <is>
          <t>URGENCIA</t>
        </is>
      </c>
      <c r="R105" s="18" t="inlineStr">
        <is>
          <t>ADMINISTRATIVO</t>
        </is>
      </c>
      <c r="S105" s="18" t="inlineStr">
        <is>
          <t>1334</t>
        </is>
      </c>
    </row>
    <row r="106">
      <c r="A106" s="27" t="n">
        <v>45904.39887731482</v>
      </c>
      <c r="B106" s="16" t="n">
        <v>408</v>
      </c>
      <c r="C106" s="16" t="n">
        <v>309</v>
      </c>
      <c r="D106" s="16" t="inlineStr">
        <is>
          <t>CERRADA</t>
        </is>
      </c>
      <c r="E106" s="16" t="inlineStr">
        <is>
          <t>PAGADA</t>
        </is>
      </c>
      <c r="F106" s="16" t="inlineStr">
        <is>
          <t>Epp</t>
        </is>
      </c>
      <c r="G106" s="16" t="inlineStr"/>
      <c r="H106" s="16" t="inlineStr">
        <is>
          <t>GAFA B105 LENTE OSCURO - UND</t>
        </is>
      </c>
      <c r="I106" s="28" t="n">
        <v>8</v>
      </c>
      <c r="J106" s="29" t="n">
        <v>5500</v>
      </c>
      <c r="K106" s="29" t="n">
        <v>44000</v>
      </c>
      <c r="L106" s="16" t="inlineStr">
        <is>
          <t>IVA 19%</t>
        </is>
      </c>
      <c r="M106" s="29" t="n">
        <v>8360</v>
      </c>
      <c r="N106" s="29" t="n">
        <v>52360</v>
      </c>
      <c r="O106" s="16" t="inlineStr">
        <is>
          <t>JULIO CESAR DEAVILA MARTINEZ</t>
        </is>
      </c>
      <c r="P106" s="16" t="inlineStr">
        <is>
          <t>DISTRITO E SAS</t>
        </is>
      </c>
      <c r="Q106" s="16" t="inlineStr">
        <is>
          <t>URGENCIA</t>
        </is>
      </c>
      <c r="R106" s="16" t="inlineStr">
        <is>
          <t>ADMINISTRATIVO</t>
        </is>
      </c>
      <c r="S106" s="16" t="inlineStr">
        <is>
          <t>1334</t>
        </is>
      </c>
    </row>
    <row r="107">
      <c r="A107" s="30" t="n">
        <v>45904.39887731482</v>
      </c>
      <c r="B107" s="18" t="n">
        <v>408</v>
      </c>
      <c r="C107" s="18" t="n">
        <v>309</v>
      </c>
      <c r="D107" s="18" t="inlineStr">
        <is>
          <t>CERRADA</t>
        </is>
      </c>
      <c r="E107" s="18" t="inlineStr">
        <is>
          <t>PAGADA</t>
        </is>
      </c>
      <c r="F107" s="18" t="inlineStr">
        <is>
          <t>Epp</t>
        </is>
      </c>
      <c r="G107" s="18" t="inlineStr"/>
      <c r="H107" s="18" t="inlineStr">
        <is>
          <t>CASCO BLANCO DE SEGURIDAD DIELECTRICO TIPO 1 POLIETILENO DE ALTA DENSIDAD (HDPE) O ABS- BARBUQUEJO DE 4 PUNTOS AJUSTABLE 23 CM X 17 CM X 30 CM - UND</t>
        </is>
      </c>
      <c r="I107" s="31" t="n">
        <v>4</v>
      </c>
      <c r="J107" s="32" t="n">
        <v>14000</v>
      </c>
      <c r="K107" s="32" t="n">
        <v>56000</v>
      </c>
      <c r="L107" s="18" t="inlineStr">
        <is>
          <t>IVA 19%</t>
        </is>
      </c>
      <c r="M107" s="32" t="n">
        <v>10640</v>
      </c>
      <c r="N107" s="32" t="n">
        <v>66640</v>
      </c>
      <c r="O107" s="18" t="inlineStr">
        <is>
          <t>JULIO CESAR DEAVILA MARTINEZ</t>
        </is>
      </c>
      <c r="P107" s="18" t="inlineStr">
        <is>
          <t>DISTRITO E SAS</t>
        </is>
      </c>
      <c r="Q107" s="18" t="inlineStr">
        <is>
          <t>URGENCIA</t>
        </is>
      </c>
      <c r="R107" s="18" t="inlineStr">
        <is>
          <t>ADMINISTRATIVO</t>
        </is>
      </c>
      <c r="S107" s="18" t="inlineStr">
        <is>
          <t>1334</t>
        </is>
      </c>
    </row>
    <row r="108">
      <c r="A108" s="27" t="n">
        <v>45896.39082175926</v>
      </c>
      <c r="B108" s="16" t="n">
        <v>326</v>
      </c>
      <c r="C108" s="16" t="n">
        <v>236</v>
      </c>
      <c r="D108" s="16" t="inlineStr">
        <is>
          <t>CERRADA</t>
        </is>
      </c>
      <c r="E108" s="16" t="inlineStr">
        <is>
          <t>PAGADA</t>
        </is>
      </c>
      <c r="F108" s="16" t="inlineStr">
        <is>
          <t>Estructura Solar</t>
        </is>
      </c>
      <c r="G108" s="16" t="inlineStr"/>
      <c r="H108" s="16" t="inlineStr">
        <is>
          <t>ESTRUCTURA METÁLICA PARA MONTAJE DE EQUIPOS - UND</t>
        </is>
      </c>
      <c r="I108" s="28" t="n">
        <v>1</v>
      </c>
      <c r="J108" s="29" t="n">
        <v>539000</v>
      </c>
      <c r="K108" s="29" t="n">
        <v>539000</v>
      </c>
      <c r="L108" s="16" t="inlineStr">
        <is>
          <t>IVA 19%</t>
        </is>
      </c>
      <c r="M108" s="29" t="n">
        <v>102410</v>
      </c>
      <c r="N108" s="29" t="n">
        <v>641410</v>
      </c>
      <c r="O108" s="16" t="inlineStr">
        <is>
          <t>JULIO CESAR DEAVILA MARTINEZ</t>
        </is>
      </c>
      <c r="P108" s="16" t="inlineStr">
        <is>
          <t>DIEGO ALEXANDER SANDOVAL GUZMAN</t>
        </is>
      </c>
      <c r="Q108" s="16" t="inlineStr">
        <is>
          <t>PLANEADA</t>
        </is>
      </c>
      <c r="R108" s="16" t="inlineStr">
        <is>
          <t>TECHO</t>
        </is>
      </c>
      <c r="S108" s="16" t="inlineStr">
        <is>
          <t>COTIZACION</t>
        </is>
      </c>
    </row>
    <row r="109">
      <c r="A109" s="30" t="n">
        <v>45896.37732638889</v>
      </c>
      <c r="B109" s="18" t="n">
        <v>322</v>
      </c>
      <c r="C109" s="18" t="n">
        <v>239</v>
      </c>
      <c r="D109" s="18" t="inlineStr">
        <is>
          <t>CERRADA</t>
        </is>
      </c>
      <c r="E109" s="18" t="inlineStr">
        <is>
          <t>PAGADA</t>
        </is>
      </c>
      <c r="F109" s="18" t="inlineStr">
        <is>
          <t>Electricos</t>
        </is>
      </c>
      <c r="G109" s="18" t="inlineStr"/>
      <c r="H109" s="18" t="inlineStr">
        <is>
          <t>CABLE SIETE HILOS CU 14 NEGRO X METRO - UND</t>
        </is>
      </c>
      <c r="I109" s="31" t="n">
        <v>350</v>
      </c>
      <c r="J109" s="32" t="n">
        <v>1750</v>
      </c>
      <c r="K109" s="32" t="n">
        <v>612500</v>
      </c>
      <c r="L109" s="18" t="inlineStr">
        <is>
          <t>IVA 19%</t>
        </is>
      </c>
      <c r="M109" s="32" t="n">
        <v>116375</v>
      </c>
      <c r="N109" s="32" t="n">
        <v>728875</v>
      </c>
      <c r="O109" s="18" t="inlineStr">
        <is>
          <t>JULIO CESAR DEAVILA MARTINEZ</t>
        </is>
      </c>
      <c r="P109" s="18" t="inlineStr">
        <is>
          <t>POTENCIA Y TECNOLOGIA  S.A.S</t>
        </is>
      </c>
      <c r="Q109" s="18" t="inlineStr">
        <is>
          <t>PLANEADA</t>
        </is>
      </c>
      <c r="R109" s="18" t="inlineStr">
        <is>
          <t>TECHO</t>
        </is>
      </c>
      <c r="S109" s="18" t="inlineStr">
        <is>
          <t>FEC114419</t>
        </is>
      </c>
    </row>
    <row r="110">
      <c r="A110" s="27" t="n">
        <v>45895.72383101852</v>
      </c>
      <c r="B110" s="16" t="n">
        <v>320</v>
      </c>
      <c r="C110" s="16" t="n">
        <v>229</v>
      </c>
      <c r="D110" s="16" t="inlineStr">
        <is>
          <t>CERRADA</t>
        </is>
      </c>
      <c r="E110" s="16" t="inlineStr">
        <is>
          <t>PAGADA</t>
        </is>
      </c>
      <c r="F110" s="16" t="inlineStr">
        <is>
          <t>Servicio</t>
        </is>
      </c>
      <c r="G110" s="16" t="inlineStr">
        <is>
          <t>Upme</t>
        </is>
      </c>
      <c r="H110" s="16" t="inlineStr">
        <is>
          <t>CERTIFICADO UPME - UND</t>
        </is>
      </c>
      <c r="I110" s="28" t="n">
        <v>1</v>
      </c>
      <c r="J110" s="29" t="n">
        <v>821186</v>
      </c>
      <c r="K110" s="29" t="n">
        <v>821186</v>
      </c>
      <c r="L110" s="16" t="inlineStr"/>
      <c r="M110" s="29" t="n">
        <v>0</v>
      </c>
      <c r="N110" s="29" t="n">
        <v>821186</v>
      </c>
      <c r="O110" s="16" t="inlineStr">
        <is>
          <t>JULIO CESAR DEAVILA MARTINEZ</t>
        </is>
      </c>
      <c r="P110" s="16" t="inlineStr">
        <is>
          <t>UNIDAD DE PLANEACION MINERO ENERGETICA (UPME)</t>
        </is>
      </c>
      <c r="Q110" s="16" t="inlineStr">
        <is>
          <t>PLANEADA</t>
        </is>
      </c>
      <c r="R110" s="16" t="inlineStr">
        <is>
          <t>TECHO</t>
        </is>
      </c>
      <c r="S110" s="16" t="inlineStr">
        <is>
          <t>UPME</t>
        </is>
      </c>
    </row>
    <row r="111">
      <c r="A111" s="30" t="n">
        <v>45891.68923611111</v>
      </c>
      <c r="B111" s="18" t="n">
        <v>298</v>
      </c>
      <c r="C111" s="18" t="n">
        <v>170</v>
      </c>
      <c r="D111" s="18" t="inlineStr">
        <is>
          <t>CERRADA</t>
        </is>
      </c>
      <c r="E111" s="18" t="inlineStr">
        <is>
          <t>PAGADA</t>
        </is>
      </c>
      <c r="F111" s="18" t="inlineStr">
        <is>
          <t>Obra Civil</t>
        </is>
      </c>
      <c r="G111" s="18" t="inlineStr"/>
      <c r="H111" s="18" t="inlineStr">
        <is>
          <t>TORNILLO AUTOPERFORANTE CABEZA LENTEJA PUNTA BROCA X 3/4" - UND</t>
        </is>
      </c>
      <c r="I111" s="31" t="n">
        <v>1000</v>
      </c>
      <c r="J111" s="32" t="n">
        <v>110</v>
      </c>
      <c r="K111" s="32" t="n">
        <v>110000</v>
      </c>
      <c r="L111" s="18" t="inlineStr">
        <is>
          <t>IVA 19%</t>
        </is>
      </c>
      <c r="M111" s="32" t="n">
        <v>20900</v>
      </c>
      <c r="N111" s="32" t="n">
        <v>130900</v>
      </c>
      <c r="O111" s="18" t="inlineStr">
        <is>
          <t>JULIO CESAR DEAVILA MARTINEZ</t>
        </is>
      </c>
      <c r="P111" s="18" t="inlineStr">
        <is>
          <t>FERREPLASTICOS CALI S.A.S</t>
        </is>
      </c>
      <c r="Q111" s="18" t="inlineStr">
        <is>
          <t>PLANEADA</t>
        </is>
      </c>
      <c r="R111" s="18" t="inlineStr">
        <is>
          <t>TECHO</t>
        </is>
      </c>
      <c r="S111" s="18" t="inlineStr">
        <is>
          <t>EC 130226</t>
        </is>
      </c>
    </row>
    <row r="112">
      <c r="A112" s="27" t="n">
        <v>45889.99324074074</v>
      </c>
      <c r="B112" s="16" t="n">
        <v>267</v>
      </c>
      <c r="C112" s="16" t="n">
        <v>170</v>
      </c>
      <c r="D112" s="16" t="inlineStr">
        <is>
          <t>CERRADA</t>
        </is>
      </c>
      <c r="E112" s="16" t="inlineStr">
        <is>
          <t>PAGADA</t>
        </is>
      </c>
      <c r="F112" s="16" t="inlineStr">
        <is>
          <t>Obra Civil</t>
        </is>
      </c>
      <c r="G112" s="16" t="inlineStr"/>
      <c r="H112" s="16" t="inlineStr">
        <is>
          <t>ESPATULA 22CM CON MANGO - UND</t>
        </is>
      </c>
      <c r="I112" s="28" t="n">
        <v>1</v>
      </c>
      <c r="J112" s="29" t="n">
        <v>12500</v>
      </c>
      <c r="K112" s="29" t="n">
        <v>12500</v>
      </c>
      <c r="L112" s="16" t="inlineStr">
        <is>
          <t>IVA 19%</t>
        </is>
      </c>
      <c r="M112" s="29" t="n">
        <v>2375</v>
      </c>
      <c r="N112" s="29" t="n">
        <v>14875</v>
      </c>
      <c r="O112" s="16" t="inlineStr">
        <is>
          <t>JULIO CESAR DEAVILA MARTINEZ</t>
        </is>
      </c>
      <c r="P112" s="16" t="inlineStr">
        <is>
          <t>DISTRIBUIDOR FERRETERO FERROGANGAS S.A.S.</t>
        </is>
      </c>
      <c r="Q112" s="16" t="inlineStr">
        <is>
          <t>PLANEADA</t>
        </is>
      </c>
      <c r="R112" s="16" t="inlineStr">
        <is>
          <t>TECHO</t>
        </is>
      </c>
      <c r="S112" s="16" t="inlineStr">
        <is>
          <t>COT FERROGANGAS</t>
        </is>
      </c>
    </row>
    <row r="113">
      <c r="A113" s="30" t="n">
        <v>45889.99324074074</v>
      </c>
      <c r="B113" s="18" t="n">
        <v>267</v>
      </c>
      <c r="C113" s="18" t="n">
        <v>170</v>
      </c>
      <c r="D113" s="18" t="inlineStr">
        <is>
          <t>CERRADA</t>
        </is>
      </c>
      <c r="E113" s="18" t="inlineStr">
        <is>
          <t>PAGADA</t>
        </is>
      </c>
      <c r="F113" s="18" t="inlineStr">
        <is>
          <t>Obra Civil</t>
        </is>
      </c>
      <c r="G113" s="18" t="inlineStr"/>
      <c r="H113" s="18" t="inlineStr">
        <is>
          <t>BROCA ESCALONADA 4-32 MM - UND</t>
        </is>
      </c>
      <c r="I113" s="31" t="n">
        <v>1</v>
      </c>
      <c r="J113" s="32" t="n">
        <v>44000</v>
      </c>
      <c r="K113" s="32" t="n">
        <v>44000</v>
      </c>
      <c r="L113" s="18" t="inlineStr">
        <is>
          <t>IVA 19%</t>
        </is>
      </c>
      <c r="M113" s="32" t="n">
        <v>8360</v>
      </c>
      <c r="N113" s="32" t="n">
        <v>52360</v>
      </c>
      <c r="O113" s="18" t="inlineStr">
        <is>
          <t>JULIO CESAR DEAVILA MARTINEZ</t>
        </is>
      </c>
      <c r="P113" s="18" t="inlineStr">
        <is>
          <t>DISTRIBUIDOR FERRETERO FERROGANGAS S.A.S.</t>
        </is>
      </c>
      <c r="Q113" s="18" t="inlineStr">
        <is>
          <t>PLANEADA</t>
        </is>
      </c>
      <c r="R113" s="18" t="inlineStr">
        <is>
          <t>TECHO</t>
        </is>
      </c>
      <c r="S113" s="18" t="inlineStr">
        <is>
          <t>COT FERROGANGAS</t>
        </is>
      </c>
    </row>
    <row r="114">
      <c r="A114" s="27" t="n">
        <v>45889.95719907407</v>
      </c>
      <c r="B114" s="16" t="n">
        <v>265</v>
      </c>
      <c r="C114" s="16" t="n">
        <v>183</v>
      </c>
      <c r="D114" s="16" t="inlineStr">
        <is>
          <t>CERRADA</t>
        </is>
      </c>
      <c r="E114" s="16" t="inlineStr">
        <is>
          <t>PAGADA</t>
        </is>
      </c>
      <c r="F114" s="16" t="inlineStr">
        <is>
          <t>Obra Civil</t>
        </is>
      </c>
      <c r="G114" s="16" t="inlineStr"/>
      <c r="H114" s="16" t="inlineStr">
        <is>
          <t>TORNILLO DRYWALL 8 X 1 1/2 NEGRO (S-23)  UND DRYWALL - UND</t>
        </is>
      </c>
      <c r="I114" s="28" t="n">
        <v>2000</v>
      </c>
      <c r="J114" s="29" t="n">
        <v>50</v>
      </c>
      <c r="K114" s="29" t="n">
        <v>100000</v>
      </c>
      <c r="L114" s="16" t="inlineStr">
        <is>
          <t>IVA 19%</t>
        </is>
      </c>
      <c r="M114" s="29" t="n">
        <v>19000</v>
      </c>
      <c r="N114" s="29" t="n">
        <v>119000</v>
      </c>
      <c r="O114" s="16" t="inlineStr">
        <is>
          <t>JULIO CESAR DEAVILA MARTINEZ</t>
        </is>
      </c>
      <c r="P114" s="16" t="inlineStr">
        <is>
          <t>FERREPLASTICOS CALI S.A.S</t>
        </is>
      </c>
      <c r="Q114" s="16" t="inlineStr">
        <is>
          <t>PLANEADA</t>
        </is>
      </c>
      <c r="R114" s="16" t="inlineStr">
        <is>
          <t>TECHO</t>
        </is>
      </c>
      <c r="S114" s="16" t="inlineStr">
        <is>
          <t>EC 130223</t>
        </is>
      </c>
    </row>
    <row r="115">
      <c r="A115" s="30" t="n">
        <v>45889.95719907407</v>
      </c>
      <c r="B115" s="18" t="n">
        <v>265</v>
      </c>
      <c r="C115" s="18" t="n">
        <v>183</v>
      </c>
      <c r="D115" s="18" t="inlineStr">
        <is>
          <t>CERRADA</t>
        </is>
      </c>
      <c r="E115" s="18" t="inlineStr">
        <is>
          <t>PAGADA</t>
        </is>
      </c>
      <c r="F115" s="18" t="inlineStr">
        <is>
          <t>Obra Civil</t>
        </is>
      </c>
      <c r="G115" s="18" t="inlineStr"/>
      <c r="H115" s="18" t="inlineStr">
        <is>
          <t>CINTA ENMASCARAR  AMARILLA 1" X 40MTS  ( PAPEL CREPE CELLUX- 24 MM) - S/M 1805-180034 - UND</t>
        </is>
      </c>
      <c r="I115" s="31" t="n">
        <v>4</v>
      </c>
      <c r="J115" s="32" t="n">
        <v>3000</v>
      </c>
      <c r="K115" s="32" t="n">
        <v>12000</v>
      </c>
      <c r="L115" s="18" t="inlineStr">
        <is>
          <t>IVA 19%</t>
        </is>
      </c>
      <c r="M115" s="32" t="n">
        <v>2280</v>
      </c>
      <c r="N115" s="32" t="n">
        <v>14280</v>
      </c>
      <c r="O115" s="18" t="inlineStr">
        <is>
          <t>JULIO CESAR DEAVILA MARTINEZ</t>
        </is>
      </c>
      <c r="P115" s="18" t="inlineStr">
        <is>
          <t>FERREPLASTICOS CALI S.A.S</t>
        </is>
      </c>
      <c r="Q115" s="18" t="inlineStr">
        <is>
          <t>PLANEADA</t>
        </is>
      </c>
      <c r="R115" s="18" t="inlineStr">
        <is>
          <t>TECHO</t>
        </is>
      </c>
      <c r="S115" s="18" t="inlineStr">
        <is>
          <t>EC 130223</t>
        </is>
      </c>
    </row>
    <row r="116">
      <c r="A116" s="27" t="n">
        <v>45889.95719907407</v>
      </c>
      <c r="B116" s="16" t="n">
        <v>265</v>
      </c>
      <c r="C116" s="16" t="n">
        <v>183</v>
      </c>
      <c r="D116" s="16" t="inlineStr">
        <is>
          <t>CERRADA</t>
        </is>
      </c>
      <c r="E116" s="16" t="inlineStr">
        <is>
          <t>PAGADA</t>
        </is>
      </c>
      <c r="F116" s="16" t="inlineStr">
        <is>
          <t>Obra Civil</t>
        </is>
      </c>
      <c r="G116" s="16" t="inlineStr"/>
      <c r="H116" s="16" t="inlineStr">
        <is>
          <t>DISCO CORTE METAL 4.1/2  (S-17)  UND DEWALT - UND</t>
        </is>
      </c>
      <c r="I116" s="28" t="n">
        <v>8</v>
      </c>
      <c r="J116" s="29" t="n">
        <v>4000</v>
      </c>
      <c r="K116" s="29" t="n">
        <v>32000</v>
      </c>
      <c r="L116" s="16" t="inlineStr">
        <is>
          <t>IVA 19%</t>
        </is>
      </c>
      <c r="M116" s="29" t="n">
        <v>6080</v>
      </c>
      <c r="N116" s="29" t="n">
        <v>38080</v>
      </c>
      <c r="O116" s="16" t="inlineStr">
        <is>
          <t>JULIO CESAR DEAVILA MARTINEZ</t>
        </is>
      </c>
      <c r="P116" s="16" t="inlineStr">
        <is>
          <t>FERREPLASTICOS CALI S.A.S</t>
        </is>
      </c>
      <c r="Q116" s="16" t="inlineStr">
        <is>
          <t>PLANEADA</t>
        </is>
      </c>
      <c r="R116" s="16" t="inlineStr">
        <is>
          <t>TECHO</t>
        </is>
      </c>
      <c r="S116" s="16" t="inlineStr">
        <is>
          <t>EC 130223</t>
        </is>
      </c>
    </row>
    <row r="117">
      <c r="A117" s="30" t="n">
        <v>45889.95719907407</v>
      </c>
      <c r="B117" s="18" t="n">
        <v>265</v>
      </c>
      <c r="C117" s="18" t="n">
        <v>183</v>
      </c>
      <c r="D117" s="18" t="inlineStr">
        <is>
          <t>CERRADA</t>
        </is>
      </c>
      <c r="E117" s="18" t="inlineStr">
        <is>
          <t>PAGADA</t>
        </is>
      </c>
      <c r="F117" s="18" t="inlineStr">
        <is>
          <t>Obra Civil</t>
        </is>
      </c>
      <c r="G117" s="18" t="inlineStr"/>
      <c r="H117" s="18" t="inlineStr">
        <is>
          <t>ALAMBRE DE AMARRE X KG - UND</t>
        </is>
      </c>
      <c r="I117" s="31" t="n">
        <v>3</v>
      </c>
      <c r="J117" s="32" t="n">
        <v>6000</v>
      </c>
      <c r="K117" s="32" t="n">
        <v>18000</v>
      </c>
      <c r="L117" s="18" t="inlineStr">
        <is>
          <t>IVA 19%</t>
        </is>
      </c>
      <c r="M117" s="32" t="n">
        <v>3420</v>
      </c>
      <c r="N117" s="32" t="n">
        <v>21420</v>
      </c>
      <c r="O117" s="18" t="inlineStr">
        <is>
          <t>JULIO CESAR DEAVILA MARTINEZ</t>
        </is>
      </c>
      <c r="P117" s="18" t="inlineStr">
        <is>
          <t>FERREPLASTICOS CALI S.A.S</t>
        </is>
      </c>
      <c r="Q117" s="18" t="inlineStr">
        <is>
          <t>PLANEADA</t>
        </is>
      </c>
      <c r="R117" s="18" t="inlineStr">
        <is>
          <t>TECHO</t>
        </is>
      </c>
      <c r="S117" s="18" t="inlineStr">
        <is>
          <t>EC 130223</t>
        </is>
      </c>
    </row>
    <row r="118">
      <c r="A118" s="27" t="n">
        <v>45889.95719907407</v>
      </c>
      <c r="B118" s="16" t="n">
        <v>265</v>
      </c>
      <c r="C118" s="16" t="n">
        <v>183</v>
      </c>
      <c r="D118" s="16" t="inlineStr">
        <is>
          <t>CERRADA</t>
        </is>
      </c>
      <c r="E118" s="16" t="inlineStr">
        <is>
          <t>PAGADA</t>
        </is>
      </c>
      <c r="F118" s="16" t="inlineStr">
        <is>
          <t>Obra Civil</t>
        </is>
      </c>
      <c r="G118" s="16" t="inlineStr"/>
      <c r="H118" s="16" t="inlineStr">
        <is>
          <t>BROCHA CERDA MONA 3 PULG UND BELLOTA - UND</t>
        </is>
      </c>
      <c r="I118" s="28" t="n">
        <v>2</v>
      </c>
      <c r="J118" s="29" t="n">
        <v>6000</v>
      </c>
      <c r="K118" s="29" t="n">
        <v>12000</v>
      </c>
      <c r="L118" s="16" t="inlineStr">
        <is>
          <t>IVA 19%</t>
        </is>
      </c>
      <c r="M118" s="29" t="n">
        <v>2280</v>
      </c>
      <c r="N118" s="29" t="n">
        <v>14280</v>
      </c>
      <c r="O118" s="16" t="inlineStr">
        <is>
          <t>JULIO CESAR DEAVILA MARTINEZ</t>
        </is>
      </c>
      <c r="P118" s="16" t="inlineStr">
        <is>
          <t>FERREPLASTICOS CALI S.A.S</t>
        </is>
      </c>
      <c r="Q118" s="16" t="inlineStr">
        <is>
          <t>PLANEADA</t>
        </is>
      </c>
      <c r="R118" s="16" t="inlineStr">
        <is>
          <t>TECHO</t>
        </is>
      </c>
      <c r="S118" s="16" t="inlineStr">
        <is>
          <t>EC 130223</t>
        </is>
      </c>
    </row>
    <row r="119">
      <c r="A119" s="30" t="n">
        <v>45889.95719907407</v>
      </c>
      <c r="B119" s="18" t="n">
        <v>265</v>
      </c>
      <c r="C119" s="18" t="n">
        <v>183</v>
      </c>
      <c r="D119" s="18" t="inlineStr">
        <is>
          <t>CERRADA</t>
        </is>
      </c>
      <c r="E119" s="18" t="inlineStr">
        <is>
          <t>PAGADA</t>
        </is>
      </c>
      <c r="F119" s="18" t="inlineStr">
        <is>
          <t>Obra Civil</t>
        </is>
      </c>
      <c r="G119" s="18" t="inlineStr"/>
      <c r="H119" s="18" t="inlineStr">
        <is>
          <t>CLAVO 1" DE ACERO INOXIDABLE GALVANIZADO X CAJA - UND</t>
        </is>
      </c>
      <c r="I119" s="31" t="n">
        <v>5</v>
      </c>
      <c r="J119" s="32" t="n">
        <v>7000</v>
      </c>
      <c r="K119" s="32" t="n">
        <v>35000</v>
      </c>
      <c r="L119" s="18" t="inlineStr">
        <is>
          <t>IVA 19%</t>
        </is>
      </c>
      <c r="M119" s="32" t="n">
        <v>6650</v>
      </c>
      <c r="N119" s="32" t="n">
        <v>41650</v>
      </c>
      <c r="O119" s="18" t="inlineStr">
        <is>
          <t>JULIO CESAR DEAVILA MARTINEZ</t>
        </is>
      </c>
      <c r="P119" s="18" t="inlineStr">
        <is>
          <t>FERREPLASTICOS CALI S.A.S</t>
        </is>
      </c>
      <c r="Q119" s="18" t="inlineStr">
        <is>
          <t>PLANEADA</t>
        </is>
      </c>
      <c r="R119" s="18" t="inlineStr">
        <is>
          <t>TECHO</t>
        </is>
      </c>
      <c r="S119" s="18" t="inlineStr">
        <is>
          <t>EC 130223</t>
        </is>
      </c>
    </row>
    <row r="120">
      <c r="A120" s="27" t="n">
        <v>45889.95719907407</v>
      </c>
      <c r="B120" s="16" t="n">
        <v>265</v>
      </c>
      <c r="C120" s="16" t="n">
        <v>183</v>
      </c>
      <c r="D120" s="16" t="inlineStr">
        <is>
          <t>CERRADA</t>
        </is>
      </c>
      <c r="E120" s="16" t="inlineStr">
        <is>
          <t>PAGADA</t>
        </is>
      </c>
      <c r="F120" s="16" t="inlineStr">
        <is>
          <t>Obra Civil</t>
        </is>
      </c>
      <c r="G120" s="16" t="inlineStr"/>
      <c r="H120" s="16" t="inlineStr">
        <is>
          <t>VARILLA CORRUGADA PURA 3/8 X 6METROS  UND GENERICO - UND</t>
        </is>
      </c>
      <c r="I120" s="28" t="n">
        <v>15</v>
      </c>
      <c r="J120" s="29" t="n">
        <v>12500</v>
      </c>
      <c r="K120" s="29" t="n">
        <v>187500</v>
      </c>
      <c r="L120" s="16" t="inlineStr">
        <is>
          <t>IVA 19%</t>
        </is>
      </c>
      <c r="M120" s="29" t="n">
        <v>35625</v>
      </c>
      <c r="N120" s="29" t="n">
        <v>223125</v>
      </c>
      <c r="O120" s="16" t="inlineStr">
        <is>
          <t>JULIO CESAR DEAVILA MARTINEZ</t>
        </is>
      </c>
      <c r="P120" s="16" t="inlineStr">
        <is>
          <t>FERREPLASTICOS CALI S.A.S</t>
        </is>
      </c>
      <c r="Q120" s="16" t="inlineStr">
        <is>
          <t>PLANEADA</t>
        </is>
      </c>
      <c r="R120" s="16" t="inlineStr">
        <is>
          <t>TECHO</t>
        </is>
      </c>
      <c r="S120" s="16" t="inlineStr">
        <is>
          <t>EC 130223</t>
        </is>
      </c>
    </row>
    <row r="121">
      <c r="A121" s="30" t="n">
        <v>45889.95719907407</v>
      </c>
      <c r="B121" s="18" t="n">
        <v>265</v>
      </c>
      <c r="C121" s="18" t="n">
        <v>183</v>
      </c>
      <c r="D121" s="18" t="inlineStr">
        <is>
          <t>CERRADA</t>
        </is>
      </c>
      <c r="E121" s="18" t="inlineStr">
        <is>
          <t>PAGADA</t>
        </is>
      </c>
      <c r="F121" s="18" t="inlineStr">
        <is>
          <t>Obra Civil</t>
        </is>
      </c>
      <c r="G121" s="18" t="inlineStr"/>
      <c r="H121" s="18" t="inlineStr">
        <is>
          <t>TABLA ORDINARIA 3 MT X 30 CM (BOD)  UND GENERICO - UND</t>
        </is>
      </c>
      <c r="I121" s="31" t="n">
        <v>70</v>
      </c>
      <c r="J121" s="32" t="n">
        <v>25000</v>
      </c>
      <c r="K121" s="32" t="n">
        <v>1750000</v>
      </c>
      <c r="L121" s="18" t="inlineStr">
        <is>
          <t>IVA 19%</t>
        </is>
      </c>
      <c r="M121" s="32" t="n">
        <v>332500</v>
      </c>
      <c r="N121" s="32" t="n">
        <v>2082500</v>
      </c>
      <c r="O121" s="18" t="inlineStr">
        <is>
          <t>JULIO CESAR DEAVILA MARTINEZ</t>
        </is>
      </c>
      <c r="P121" s="18" t="inlineStr">
        <is>
          <t>FERREPLASTICOS CALI S.A.S</t>
        </is>
      </c>
      <c r="Q121" s="18" t="inlineStr">
        <is>
          <t>PLANEADA</t>
        </is>
      </c>
      <c r="R121" s="18" t="inlineStr">
        <is>
          <t>TECHO</t>
        </is>
      </c>
      <c r="S121" s="18" t="inlineStr">
        <is>
          <t>EC 130223</t>
        </is>
      </c>
    </row>
    <row r="122">
      <c r="A122" s="27" t="n">
        <v>45889.95719907407</v>
      </c>
      <c r="B122" s="16" t="n">
        <v>265</v>
      </c>
      <c r="C122" s="16" t="n">
        <v>183</v>
      </c>
      <c r="D122" s="16" t="inlineStr">
        <is>
          <t>CERRADA</t>
        </is>
      </c>
      <c r="E122" s="16" t="inlineStr">
        <is>
          <t>PAGADA</t>
        </is>
      </c>
      <c r="F122" s="16" t="inlineStr">
        <is>
          <t>Obra Civil</t>
        </is>
      </c>
      <c r="G122" s="16" t="inlineStr"/>
      <c r="H122" s="16" t="inlineStr">
        <is>
          <t>CEMENTO GRIS X BULTO - UND</t>
        </is>
      </c>
      <c r="I122" s="28" t="n">
        <v>57</v>
      </c>
      <c r="J122" s="29" t="n">
        <v>28000</v>
      </c>
      <c r="K122" s="29" t="n">
        <v>1596000</v>
      </c>
      <c r="L122" s="16" t="inlineStr">
        <is>
          <t>IVA 19%</t>
        </is>
      </c>
      <c r="M122" s="29" t="n">
        <v>303240</v>
      </c>
      <c r="N122" s="29" t="n">
        <v>1899240</v>
      </c>
      <c r="O122" s="16" t="inlineStr">
        <is>
          <t>JULIO CESAR DEAVILA MARTINEZ</t>
        </is>
      </c>
      <c r="P122" s="16" t="inlineStr">
        <is>
          <t>FERREPLASTICOS CALI S.A.S</t>
        </is>
      </c>
      <c r="Q122" s="16" t="inlineStr">
        <is>
          <t>PLANEADA</t>
        </is>
      </c>
      <c r="R122" s="16" t="inlineStr">
        <is>
          <t>TECHO</t>
        </is>
      </c>
      <c r="S122" s="16" t="inlineStr">
        <is>
          <t>EC 130223</t>
        </is>
      </c>
    </row>
    <row r="123">
      <c r="A123" s="30" t="n">
        <v>45889.95719907407</v>
      </c>
      <c r="B123" s="18" t="n">
        <v>265</v>
      </c>
      <c r="C123" s="18" t="n">
        <v>183</v>
      </c>
      <c r="D123" s="18" t="inlineStr">
        <is>
          <t>CERRADA</t>
        </is>
      </c>
      <c r="E123" s="18" t="inlineStr">
        <is>
          <t>PAGADA</t>
        </is>
      </c>
      <c r="F123" s="18" t="inlineStr">
        <is>
          <t>Obra Civil</t>
        </is>
      </c>
      <c r="G123" s="18" t="inlineStr"/>
      <c r="H123" s="18" t="inlineStr">
        <is>
          <t>TABLÓN  - UND</t>
        </is>
      </c>
      <c r="I123" s="31" t="n">
        <v>4</v>
      </c>
      <c r="J123" s="32" t="n">
        <v>42000</v>
      </c>
      <c r="K123" s="32" t="n">
        <v>168000</v>
      </c>
      <c r="L123" s="18" t="inlineStr">
        <is>
          <t>IVA 19%</t>
        </is>
      </c>
      <c r="M123" s="32" t="n">
        <v>31920</v>
      </c>
      <c r="N123" s="32" t="n">
        <v>199920</v>
      </c>
      <c r="O123" s="18" t="inlineStr">
        <is>
          <t>JULIO CESAR DEAVILA MARTINEZ</t>
        </is>
      </c>
      <c r="P123" s="18" t="inlineStr">
        <is>
          <t>FERREPLASTICOS CALI S.A.S</t>
        </is>
      </c>
      <c r="Q123" s="18" t="inlineStr">
        <is>
          <t>PLANEADA</t>
        </is>
      </c>
      <c r="R123" s="18" t="inlineStr">
        <is>
          <t>TECHO</t>
        </is>
      </c>
      <c r="S123" s="18" t="inlineStr">
        <is>
          <t>EC 130223</t>
        </is>
      </c>
    </row>
    <row r="124">
      <c r="A124" s="27" t="n">
        <v>45889.95719907407</v>
      </c>
      <c r="B124" s="16" t="n">
        <v>265</v>
      </c>
      <c r="C124" s="16" t="n">
        <v>183</v>
      </c>
      <c r="D124" s="16" t="inlineStr">
        <is>
          <t>CERRADA</t>
        </is>
      </c>
      <c r="E124" s="16" t="inlineStr">
        <is>
          <t>PAGADA</t>
        </is>
      </c>
      <c r="F124" s="16" t="inlineStr">
        <is>
          <t>Obra Civil</t>
        </is>
      </c>
      <c r="G124" s="16" t="inlineStr"/>
      <c r="H124" s="16" t="inlineStr">
        <is>
          <t>SIKAFLEX FIX GRIS - UND</t>
        </is>
      </c>
      <c r="I124" s="28" t="n">
        <v>4</v>
      </c>
      <c r="J124" s="29" t="n">
        <v>50000</v>
      </c>
      <c r="K124" s="29" t="n">
        <v>200000</v>
      </c>
      <c r="L124" s="16" t="inlineStr">
        <is>
          <t>IVA 19%</t>
        </is>
      </c>
      <c r="M124" s="29" t="n">
        <v>38000</v>
      </c>
      <c r="N124" s="29" t="n">
        <v>238000</v>
      </c>
      <c r="O124" s="16" t="inlineStr">
        <is>
          <t>JULIO CESAR DEAVILA MARTINEZ</t>
        </is>
      </c>
      <c r="P124" s="16" t="inlineStr">
        <is>
          <t>FERREPLASTICOS CALI S.A.S</t>
        </is>
      </c>
      <c r="Q124" s="16" t="inlineStr">
        <is>
          <t>PLANEADA</t>
        </is>
      </c>
      <c r="R124" s="16" t="inlineStr">
        <is>
          <t>TECHO</t>
        </is>
      </c>
      <c r="S124" s="16" t="inlineStr">
        <is>
          <t>EC 130223</t>
        </is>
      </c>
    </row>
    <row r="125">
      <c r="A125" s="30" t="n">
        <v>45889.95719907407</v>
      </c>
      <c r="B125" s="18" t="n">
        <v>265</v>
      </c>
      <c r="C125" s="18" t="n">
        <v>183</v>
      </c>
      <c r="D125" s="18" t="inlineStr">
        <is>
          <t>CERRADA</t>
        </is>
      </c>
      <c r="E125" s="18" t="inlineStr">
        <is>
          <t>PAGADA</t>
        </is>
      </c>
      <c r="F125" s="18" t="inlineStr">
        <is>
          <t>Obra Civil</t>
        </is>
      </c>
      <c r="G125" s="18" t="inlineStr"/>
      <c r="H125" s="18" t="inlineStr">
        <is>
          <t>SIKA ANCHORFIX S X 300 ML - UND</t>
        </is>
      </c>
      <c r="I125" s="31" t="n">
        <v>1</v>
      </c>
      <c r="J125" s="32" t="n">
        <v>74000</v>
      </c>
      <c r="K125" s="32" t="n">
        <v>74000</v>
      </c>
      <c r="L125" s="18" t="inlineStr">
        <is>
          <t>IVA 19%</t>
        </is>
      </c>
      <c r="M125" s="32" t="n">
        <v>14060</v>
      </c>
      <c r="N125" s="32" t="n">
        <v>88060</v>
      </c>
      <c r="O125" s="18" t="inlineStr">
        <is>
          <t>JULIO CESAR DEAVILA MARTINEZ</t>
        </is>
      </c>
      <c r="P125" s="18" t="inlineStr">
        <is>
          <t>FERREPLASTICOS CALI S.A.S</t>
        </is>
      </c>
      <c r="Q125" s="18" t="inlineStr">
        <is>
          <t>PLANEADA</t>
        </is>
      </c>
      <c r="R125" s="18" t="inlineStr">
        <is>
          <t>TECHO</t>
        </is>
      </c>
      <c r="S125" s="18" t="inlineStr">
        <is>
          <t>EC 130223</t>
        </is>
      </c>
    </row>
    <row r="126">
      <c r="A126" s="27" t="n">
        <v>45889.95719907407</v>
      </c>
      <c r="B126" s="16" t="n">
        <v>265</v>
      </c>
      <c r="C126" s="16" t="n">
        <v>183</v>
      </c>
      <c r="D126" s="16" t="inlineStr">
        <is>
          <t>CERRADA</t>
        </is>
      </c>
      <c r="E126" s="16" t="inlineStr">
        <is>
          <t>PAGADA</t>
        </is>
      </c>
      <c r="F126" s="16" t="inlineStr">
        <is>
          <t>Obra Civil</t>
        </is>
      </c>
      <c r="G126" s="16" t="inlineStr"/>
      <c r="H126" s="16" t="inlineStr">
        <is>
          <t>ARENA X M3 - UND</t>
        </is>
      </c>
      <c r="I126" s="28" t="n">
        <v>5</v>
      </c>
      <c r="J126" s="29" t="n">
        <v>125000</v>
      </c>
      <c r="K126" s="29" t="n">
        <v>625000</v>
      </c>
      <c r="L126" s="16" t="inlineStr">
        <is>
          <t>IVA 19%</t>
        </is>
      </c>
      <c r="M126" s="29" t="n">
        <v>118750</v>
      </c>
      <c r="N126" s="29" t="n">
        <v>743750</v>
      </c>
      <c r="O126" s="16" t="inlineStr">
        <is>
          <t>JULIO CESAR DEAVILA MARTINEZ</t>
        </is>
      </c>
      <c r="P126" s="16" t="inlineStr">
        <is>
          <t>FERREPLASTICOS CALI S.A.S</t>
        </is>
      </c>
      <c r="Q126" s="16" t="inlineStr">
        <is>
          <t>PLANEADA</t>
        </is>
      </c>
      <c r="R126" s="16" t="inlineStr">
        <is>
          <t>TECHO</t>
        </is>
      </c>
      <c r="S126" s="16" t="inlineStr">
        <is>
          <t>EC 130223</t>
        </is>
      </c>
    </row>
    <row r="127">
      <c r="A127" s="30" t="n">
        <v>45889.95719907407</v>
      </c>
      <c r="B127" s="18" t="n">
        <v>265</v>
      </c>
      <c r="C127" s="18" t="n">
        <v>183</v>
      </c>
      <c r="D127" s="18" t="inlineStr">
        <is>
          <t>CERRADA</t>
        </is>
      </c>
      <c r="E127" s="18" t="inlineStr">
        <is>
          <t>PAGADA</t>
        </is>
      </c>
      <c r="F127" s="18" t="inlineStr">
        <is>
          <t>Obra Civil</t>
        </is>
      </c>
      <c r="G127" s="18" t="inlineStr"/>
      <c r="H127" s="18" t="inlineStr">
        <is>
          <t>SIKADUR ANCHORFIX 4 - UND</t>
        </is>
      </c>
      <c r="I127" s="31" t="n">
        <v>1</v>
      </c>
      <c r="J127" s="32" t="n">
        <v>150000</v>
      </c>
      <c r="K127" s="32" t="n">
        <v>150000</v>
      </c>
      <c r="L127" s="18" t="inlineStr">
        <is>
          <t>IVA 19%</t>
        </is>
      </c>
      <c r="M127" s="32" t="n">
        <v>28500</v>
      </c>
      <c r="N127" s="32" t="n">
        <v>178500</v>
      </c>
      <c r="O127" s="18" t="inlineStr">
        <is>
          <t>JULIO CESAR DEAVILA MARTINEZ</t>
        </is>
      </c>
      <c r="P127" s="18" t="inlineStr">
        <is>
          <t>FERREPLASTICOS CALI S.A.S</t>
        </is>
      </c>
      <c r="Q127" s="18" t="inlineStr">
        <is>
          <t>PLANEADA</t>
        </is>
      </c>
      <c r="R127" s="18" t="inlineStr">
        <is>
          <t>TECHO</t>
        </is>
      </c>
      <c r="S127" s="18" t="inlineStr">
        <is>
          <t>EC 130223</t>
        </is>
      </c>
    </row>
    <row r="128">
      <c r="A128" s="27" t="n">
        <v>45889.95719907407</v>
      </c>
      <c r="B128" s="16" t="n">
        <v>265</v>
      </c>
      <c r="C128" s="16" t="n">
        <v>183</v>
      </c>
      <c r="D128" s="16" t="inlineStr">
        <is>
          <t>CERRADA</t>
        </is>
      </c>
      <c r="E128" s="16" t="inlineStr">
        <is>
          <t>PAGADA</t>
        </is>
      </c>
      <c r="F128" s="16" t="inlineStr">
        <is>
          <t>Obra Civil</t>
        </is>
      </c>
      <c r="G128" s="16" t="inlineStr"/>
      <c r="H128" s="16" t="inlineStr">
        <is>
          <t>GRAVA 3/4" X M3 - M3</t>
        </is>
      </c>
      <c r="I128" s="28" t="n">
        <v>8</v>
      </c>
      <c r="J128" s="29" t="n">
        <v>150000</v>
      </c>
      <c r="K128" s="29" t="n">
        <v>1200000</v>
      </c>
      <c r="L128" s="16" t="inlineStr">
        <is>
          <t>IVA 19%</t>
        </is>
      </c>
      <c r="M128" s="29" t="n">
        <v>228000</v>
      </c>
      <c r="N128" s="29" t="n">
        <v>1428000</v>
      </c>
      <c r="O128" s="16" t="inlineStr">
        <is>
          <t>JULIO CESAR DEAVILA MARTINEZ</t>
        </is>
      </c>
      <c r="P128" s="16" t="inlineStr">
        <is>
          <t>FERREPLASTICOS CALI S.A.S</t>
        </is>
      </c>
      <c r="Q128" s="16" t="inlineStr">
        <is>
          <t>PLANEADA</t>
        </is>
      </c>
      <c r="R128" s="16" t="inlineStr">
        <is>
          <t>TECHO</t>
        </is>
      </c>
      <c r="S128" s="16" t="inlineStr">
        <is>
          <t>EC 130223</t>
        </is>
      </c>
    </row>
    <row r="129">
      <c r="A129" s="30" t="n">
        <v>45889.95719907407</v>
      </c>
      <c r="B129" s="18" t="n">
        <v>265</v>
      </c>
      <c r="C129" s="18" t="n">
        <v>183</v>
      </c>
      <c r="D129" s="18" t="inlineStr">
        <is>
          <t>CERRADA</t>
        </is>
      </c>
      <c r="E129" s="18" t="inlineStr">
        <is>
          <t>PAGADA</t>
        </is>
      </c>
      <c r="F129" s="18" t="inlineStr">
        <is>
          <t>Obra Civil</t>
        </is>
      </c>
      <c r="G129" s="18" t="inlineStr"/>
      <c r="H129" s="18" t="inlineStr">
        <is>
          <t>MALLA ELECTROSOLDADA 6MM - UND</t>
        </is>
      </c>
      <c r="I129" s="31" t="n">
        <v>3</v>
      </c>
      <c r="J129" s="32" t="n">
        <v>195000</v>
      </c>
      <c r="K129" s="32" t="n">
        <v>585000</v>
      </c>
      <c r="L129" s="18" t="inlineStr">
        <is>
          <t>IVA 19%</t>
        </is>
      </c>
      <c r="M129" s="32" t="n">
        <v>111150</v>
      </c>
      <c r="N129" s="32" t="n">
        <v>696150</v>
      </c>
      <c r="O129" s="18" t="inlineStr">
        <is>
          <t>JULIO CESAR DEAVILA MARTINEZ</t>
        </is>
      </c>
      <c r="P129" s="18" t="inlineStr">
        <is>
          <t>FERREPLASTICOS CALI S.A.S</t>
        </is>
      </c>
      <c r="Q129" s="18" t="inlineStr">
        <is>
          <t>PLANEADA</t>
        </is>
      </c>
      <c r="R129" s="18" t="inlineStr">
        <is>
          <t>TECHO</t>
        </is>
      </c>
      <c r="S129" s="18" t="inlineStr">
        <is>
          <t>EC 130223</t>
        </is>
      </c>
    </row>
    <row r="130">
      <c r="A130" s="27" t="n">
        <v>45889.95719907407</v>
      </c>
      <c r="B130" s="16" t="n">
        <v>265</v>
      </c>
      <c r="C130" s="16" t="n">
        <v>183</v>
      </c>
      <c r="D130" s="16" t="inlineStr">
        <is>
          <t>CERRADA</t>
        </is>
      </c>
      <c r="E130" s="16" t="inlineStr">
        <is>
          <t>PAGADA</t>
        </is>
      </c>
      <c r="F130" s="16" t="inlineStr">
        <is>
          <t>Obra Civil</t>
        </is>
      </c>
      <c r="G130" s="16" t="inlineStr"/>
      <c r="H130" s="16" t="inlineStr">
        <is>
          <t>PLASTICO NEGRO (CALIBRE 6 X 100 M) - UND</t>
        </is>
      </c>
      <c r="I130" s="28" t="n">
        <v>2</v>
      </c>
      <c r="J130" s="29" t="n">
        <v>700000</v>
      </c>
      <c r="K130" s="29" t="n">
        <v>1400000</v>
      </c>
      <c r="L130" s="16" t="inlineStr">
        <is>
          <t>IVA 19%</t>
        </is>
      </c>
      <c r="M130" s="29" t="n">
        <v>266000</v>
      </c>
      <c r="N130" s="29" t="n">
        <v>1666000</v>
      </c>
      <c r="O130" s="16" t="inlineStr">
        <is>
          <t>JULIO CESAR DEAVILA MARTINEZ</t>
        </is>
      </c>
      <c r="P130" s="16" t="inlineStr">
        <is>
          <t>FERREPLASTICOS CALI S.A.S</t>
        </is>
      </c>
      <c r="Q130" s="16" t="inlineStr">
        <is>
          <t>PLANEADA</t>
        </is>
      </c>
      <c r="R130" s="16" t="inlineStr">
        <is>
          <t>TECHO</t>
        </is>
      </c>
      <c r="S130" s="16" t="inlineStr">
        <is>
          <t>EC 130223</t>
        </is>
      </c>
    </row>
    <row r="131">
      <c r="A131" s="30" t="n">
        <v>45889.71530092593</v>
      </c>
      <c r="B131" s="18" t="n">
        <v>262</v>
      </c>
      <c r="C131" s="18" t="n">
        <v>170</v>
      </c>
      <c r="D131" s="18" t="inlineStr">
        <is>
          <t>CERRADA</t>
        </is>
      </c>
      <c r="E131" s="18" t="inlineStr">
        <is>
          <t>PAGADA</t>
        </is>
      </c>
      <c r="F131" s="18" t="inlineStr">
        <is>
          <t>Obra Civil</t>
        </is>
      </c>
      <c r="G131" s="18" t="inlineStr"/>
      <c r="H131" s="18" t="inlineStr">
        <is>
          <t>TORNILLO AUTOPERFORANTE CABEZA LENTEJA PUNTA BROCA X 1 1/4" - UND</t>
        </is>
      </c>
      <c r="I131" s="31" t="n">
        <v>1000</v>
      </c>
      <c r="J131" s="32" t="n">
        <v>110</v>
      </c>
      <c r="K131" s="32" t="n">
        <v>110000</v>
      </c>
      <c r="L131" s="18" t="inlineStr">
        <is>
          <t>IVA 19%</t>
        </is>
      </c>
      <c r="M131" s="32" t="n">
        <v>20900</v>
      </c>
      <c r="N131" s="32" t="n">
        <v>130900</v>
      </c>
      <c r="O131" s="18" t="inlineStr">
        <is>
          <t>JULIO CESAR DEAVILA MARTINEZ</t>
        </is>
      </c>
      <c r="P131" s="18" t="inlineStr">
        <is>
          <t>FERREPLASTICOS CALI S.A.S</t>
        </is>
      </c>
      <c r="Q131" s="18" t="inlineStr">
        <is>
          <t>PLANEADA</t>
        </is>
      </c>
      <c r="R131" s="18" t="inlineStr">
        <is>
          <t>TECHO</t>
        </is>
      </c>
      <c r="S131" s="18" t="inlineStr">
        <is>
          <t>EC 130217</t>
        </is>
      </c>
    </row>
    <row r="132">
      <c r="A132" s="27" t="n">
        <v>45889.71530092593</v>
      </c>
      <c r="B132" s="16" t="n">
        <v>262</v>
      </c>
      <c r="C132" s="16" t="n">
        <v>170</v>
      </c>
      <c r="D132" s="16" t="inlineStr">
        <is>
          <t>CERRADA</t>
        </is>
      </c>
      <c r="E132" s="16" t="inlineStr">
        <is>
          <t>PAGADA</t>
        </is>
      </c>
      <c r="F132" s="16" t="inlineStr">
        <is>
          <t>Obra Civil</t>
        </is>
      </c>
      <c r="G132" s="16" t="inlineStr"/>
      <c r="H132" s="16" t="inlineStr">
        <is>
          <t>CHAZO BALA 3/8 " - UND</t>
        </is>
      </c>
      <c r="I132" s="28" t="n">
        <v>1000</v>
      </c>
      <c r="J132" s="29" t="n">
        <v>300</v>
      </c>
      <c r="K132" s="29" t="n">
        <v>300000</v>
      </c>
      <c r="L132" s="16" t="inlineStr">
        <is>
          <t>IVA 19%</t>
        </is>
      </c>
      <c r="M132" s="29" t="n">
        <v>57000</v>
      </c>
      <c r="N132" s="29" t="n">
        <v>357000</v>
      </c>
      <c r="O132" s="16" t="inlineStr">
        <is>
          <t>JULIO CESAR DEAVILA MARTINEZ</t>
        </is>
      </c>
      <c r="P132" s="16" t="inlineStr">
        <is>
          <t>FERREPLASTICOS CALI S.A.S</t>
        </is>
      </c>
      <c r="Q132" s="16" t="inlineStr">
        <is>
          <t>PLANEADA</t>
        </is>
      </c>
      <c r="R132" s="16" t="inlineStr">
        <is>
          <t>TECHO</t>
        </is>
      </c>
      <c r="S132" s="16" t="inlineStr">
        <is>
          <t>EC 130217</t>
        </is>
      </c>
    </row>
    <row r="133">
      <c r="A133" s="30" t="n">
        <v>45889.71530092593</v>
      </c>
      <c r="B133" s="18" t="n">
        <v>262</v>
      </c>
      <c r="C133" s="18" t="n">
        <v>170</v>
      </c>
      <c r="D133" s="18" t="inlineStr">
        <is>
          <t>CERRADA</t>
        </is>
      </c>
      <c r="E133" s="18" t="inlineStr">
        <is>
          <t>PAGADA</t>
        </is>
      </c>
      <c r="F133" s="18" t="inlineStr">
        <is>
          <t>Obra Civil</t>
        </is>
      </c>
      <c r="G133" s="18" t="inlineStr"/>
      <c r="H133" s="18" t="inlineStr">
        <is>
          <t>ANGULO DRYWALL SUPER 25X25 2.44 M CAL.26 (DP)  UND ORIENTCRAFT - UND</t>
        </is>
      </c>
      <c r="I133" s="31" t="n">
        <v>40</v>
      </c>
      <c r="J133" s="32" t="n">
        <v>2200</v>
      </c>
      <c r="K133" s="32" t="n">
        <v>88000</v>
      </c>
      <c r="L133" s="18" t="inlineStr">
        <is>
          <t>IVA 19%</t>
        </is>
      </c>
      <c r="M133" s="32" t="n">
        <v>16720</v>
      </c>
      <c r="N133" s="32" t="n">
        <v>104720</v>
      </c>
      <c r="O133" s="18" t="inlineStr">
        <is>
          <t>JULIO CESAR DEAVILA MARTINEZ</t>
        </is>
      </c>
      <c r="P133" s="18" t="inlineStr">
        <is>
          <t>FERREPLASTICOS CALI S.A.S</t>
        </is>
      </c>
      <c r="Q133" s="18" t="inlineStr">
        <is>
          <t>PLANEADA</t>
        </is>
      </c>
      <c r="R133" s="18" t="inlineStr">
        <is>
          <t>TECHO</t>
        </is>
      </c>
      <c r="S133" s="18" t="inlineStr">
        <is>
          <t>EC 130217</t>
        </is>
      </c>
    </row>
    <row r="134">
      <c r="A134" s="27" t="n">
        <v>45889.71530092593</v>
      </c>
      <c r="B134" s="16" t="n">
        <v>262</v>
      </c>
      <c r="C134" s="16" t="n">
        <v>170</v>
      </c>
      <c r="D134" s="16" t="inlineStr">
        <is>
          <t>CERRADA</t>
        </is>
      </c>
      <c r="E134" s="16" t="inlineStr">
        <is>
          <t>PAGADA</t>
        </is>
      </c>
      <c r="F134" s="16" t="inlineStr">
        <is>
          <t>Obra Civil</t>
        </is>
      </c>
      <c r="G134" s="16" t="inlineStr"/>
      <c r="H134" s="16" t="inlineStr">
        <is>
          <t>CINTA PAPEL PARA BOARD X 23 M - UND</t>
        </is>
      </c>
      <c r="I134" s="28" t="n">
        <v>8</v>
      </c>
      <c r="J134" s="29" t="n">
        <v>3000</v>
      </c>
      <c r="K134" s="29" t="n">
        <v>24000</v>
      </c>
      <c r="L134" s="16" t="inlineStr">
        <is>
          <t>IVA 19%</t>
        </is>
      </c>
      <c r="M134" s="29" t="n">
        <v>4560</v>
      </c>
      <c r="N134" s="29" t="n">
        <v>28560</v>
      </c>
      <c r="O134" s="16" t="inlineStr">
        <is>
          <t>JULIO CESAR DEAVILA MARTINEZ</t>
        </is>
      </c>
      <c r="P134" s="16" t="inlineStr">
        <is>
          <t>FERREPLASTICOS CALI S.A.S</t>
        </is>
      </c>
      <c r="Q134" s="16" t="inlineStr">
        <is>
          <t>PLANEADA</t>
        </is>
      </c>
      <c r="R134" s="16" t="inlineStr">
        <is>
          <t>TECHO</t>
        </is>
      </c>
      <c r="S134" s="16" t="inlineStr">
        <is>
          <t>EC 130217</t>
        </is>
      </c>
    </row>
    <row r="135">
      <c r="A135" s="30" t="n">
        <v>45889.71530092593</v>
      </c>
      <c r="B135" s="18" t="n">
        <v>262</v>
      </c>
      <c r="C135" s="18" t="n">
        <v>170</v>
      </c>
      <c r="D135" s="18" t="inlineStr">
        <is>
          <t>CERRADA</t>
        </is>
      </c>
      <c r="E135" s="18" t="inlineStr">
        <is>
          <t>PAGADA</t>
        </is>
      </c>
      <c r="F135" s="18" t="inlineStr">
        <is>
          <t>Obra Civil</t>
        </is>
      </c>
      <c r="G135" s="18" t="inlineStr"/>
      <c r="H135" s="18" t="inlineStr">
        <is>
          <t>ANGULO DRYWALL PERFORADO ESQUINERO X 2,44M - UND</t>
        </is>
      </c>
      <c r="I135" s="31" t="n">
        <v>34</v>
      </c>
      <c r="J135" s="32" t="n">
        <v>4000</v>
      </c>
      <c r="K135" s="32" t="n">
        <v>136000</v>
      </c>
      <c r="L135" s="18" t="inlineStr">
        <is>
          <t>IVA 19%</t>
        </is>
      </c>
      <c r="M135" s="32" t="n">
        <v>25840</v>
      </c>
      <c r="N135" s="32" t="n">
        <v>161840</v>
      </c>
      <c r="O135" s="18" t="inlineStr">
        <is>
          <t>JULIO CESAR DEAVILA MARTINEZ</t>
        </is>
      </c>
      <c r="P135" s="18" t="inlineStr">
        <is>
          <t>FERREPLASTICOS CALI S.A.S</t>
        </is>
      </c>
      <c r="Q135" s="18" t="inlineStr">
        <is>
          <t>PLANEADA</t>
        </is>
      </c>
      <c r="R135" s="18" t="inlineStr">
        <is>
          <t>TECHO</t>
        </is>
      </c>
      <c r="S135" s="18" t="inlineStr">
        <is>
          <t>EC 130217</t>
        </is>
      </c>
    </row>
    <row r="136">
      <c r="A136" s="27" t="n">
        <v>45889.71530092593</v>
      </c>
      <c r="B136" s="16" t="n">
        <v>262</v>
      </c>
      <c r="C136" s="16" t="n">
        <v>170</v>
      </c>
      <c r="D136" s="16" t="inlineStr">
        <is>
          <t>CERRADA</t>
        </is>
      </c>
      <c r="E136" s="16" t="inlineStr">
        <is>
          <t>PAGADA</t>
        </is>
      </c>
      <c r="F136" s="16" t="inlineStr">
        <is>
          <t>Obra Civil</t>
        </is>
      </c>
      <c r="G136" s="16" t="inlineStr"/>
      <c r="H136" s="16" t="inlineStr">
        <is>
          <t>CANAL GALVANIZADO PARA PANEL SUPERBOARD (60 MM X 2.44 M) - UND</t>
        </is>
      </c>
      <c r="I136" s="28" t="n">
        <v>24</v>
      </c>
      <c r="J136" s="29" t="n">
        <v>6000</v>
      </c>
      <c r="K136" s="29" t="n">
        <v>144000</v>
      </c>
      <c r="L136" s="16" t="inlineStr">
        <is>
          <t>IVA 19%</t>
        </is>
      </c>
      <c r="M136" s="29" t="n">
        <v>27360</v>
      </c>
      <c r="N136" s="29" t="n">
        <v>171360</v>
      </c>
      <c r="O136" s="16" t="inlineStr">
        <is>
          <t>JULIO CESAR DEAVILA MARTINEZ</t>
        </is>
      </c>
      <c r="P136" s="16" t="inlineStr">
        <is>
          <t>FERREPLASTICOS CALI S.A.S</t>
        </is>
      </c>
      <c r="Q136" s="16" t="inlineStr">
        <is>
          <t>PLANEADA</t>
        </is>
      </c>
      <c r="R136" s="16" t="inlineStr">
        <is>
          <t>TECHO</t>
        </is>
      </c>
      <c r="S136" s="16" t="inlineStr">
        <is>
          <t>EC 130217</t>
        </is>
      </c>
    </row>
    <row r="137">
      <c r="A137" s="30" t="n">
        <v>45889.71530092593</v>
      </c>
      <c r="B137" s="18" t="n">
        <v>262</v>
      </c>
      <c r="C137" s="18" t="n">
        <v>170</v>
      </c>
      <c r="D137" s="18" t="inlineStr">
        <is>
          <t>CERRADA</t>
        </is>
      </c>
      <c r="E137" s="18" t="inlineStr">
        <is>
          <t>PAGADA</t>
        </is>
      </c>
      <c r="F137" s="18" t="inlineStr">
        <is>
          <t>Obra Civil</t>
        </is>
      </c>
      <c r="G137" s="18" t="inlineStr"/>
      <c r="H137" s="18" t="inlineStr">
        <is>
          <t>PARAL GALVANIZADO PARA PANEL SUPERBOARD (60 MM X 2.44 M) - UND</t>
        </is>
      </c>
      <c r="I137" s="31" t="n">
        <v>40</v>
      </c>
      <c r="J137" s="32" t="n">
        <v>7000</v>
      </c>
      <c r="K137" s="32" t="n">
        <v>280000</v>
      </c>
      <c r="L137" s="18" t="inlineStr">
        <is>
          <t>IVA 19%</t>
        </is>
      </c>
      <c r="M137" s="32" t="n">
        <v>53200</v>
      </c>
      <c r="N137" s="32" t="n">
        <v>333200</v>
      </c>
      <c r="O137" s="18" t="inlineStr">
        <is>
          <t>JULIO CESAR DEAVILA MARTINEZ</t>
        </is>
      </c>
      <c r="P137" s="18" t="inlineStr">
        <is>
          <t>FERREPLASTICOS CALI S.A.S</t>
        </is>
      </c>
      <c r="Q137" s="18" t="inlineStr">
        <is>
          <t>PLANEADA</t>
        </is>
      </c>
      <c r="R137" s="18" t="inlineStr">
        <is>
          <t>TECHO</t>
        </is>
      </c>
      <c r="S137" s="18" t="inlineStr">
        <is>
          <t>EC 130217</t>
        </is>
      </c>
    </row>
    <row r="138">
      <c r="A138" s="27" t="n">
        <v>45889.71530092593</v>
      </c>
      <c r="B138" s="16" t="n">
        <v>262</v>
      </c>
      <c r="C138" s="16" t="n">
        <v>170</v>
      </c>
      <c r="D138" s="16" t="inlineStr">
        <is>
          <t>CERRADA</t>
        </is>
      </c>
      <c r="E138" s="16" t="inlineStr">
        <is>
          <t>PAGADA</t>
        </is>
      </c>
      <c r="F138" s="16" t="inlineStr">
        <is>
          <t>Obra Civil</t>
        </is>
      </c>
      <c r="G138" s="16" t="inlineStr"/>
      <c r="H138" s="16" t="inlineStr">
        <is>
          <t>TAPA REGISTRO 14 X 14 CM - UND - UND</t>
        </is>
      </c>
      <c r="I138" s="28" t="n">
        <v>4</v>
      </c>
      <c r="J138" s="29" t="n">
        <v>12000</v>
      </c>
      <c r="K138" s="29" t="n">
        <v>48000</v>
      </c>
      <c r="L138" s="16" t="inlineStr">
        <is>
          <t>IVA 19%</t>
        </is>
      </c>
      <c r="M138" s="29" t="n">
        <v>9120</v>
      </c>
      <c r="N138" s="29" t="n">
        <v>57120</v>
      </c>
      <c r="O138" s="16" t="inlineStr">
        <is>
          <t>JULIO CESAR DEAVILA MARTINEZ</t>
        </is>
      </c>
      <c r="P138" s="16" t="inlineStr">
        <is>
          <t>FERREPLASTICOS CALI S.A.S</t>
        </is>
      </c>
      <c r="Q138" s="16" t="inlineStr">
        <is>
          <t>PLANEADA</t>
        </is>
      </c>
      <c r="R138" s="16" t="inlineStr">
        <is>
          <t>TECHO</t>
        </is>
      </c>
      <c r="S138" s="16" t="inlineStr">
        <is>
          <t>EC 130217</t>
        </is>
      </c>
    </row>
    <row r="139">
      <c r="A139" s="30" t="n">
        <v>45889.71530092593</v>
      </c>
      <c r="B139" s="18" t="n">
        <v>262</v>
      </c>
      <c r="C139" s="18" t="n">
        <v>170</v>
      </c>
      <c r="D139" s="18" t="inlineStr">
        <is>
          <t>CERRADA</t>
        </is>
      </c>
      <c r="E139" s="18" t="inlineStr">
        <is>
          <t>PAGADA</t>
        </is>
      </c>
      <c r="F139" s="18" t="inlineStr">
        <is>
          <t>Obra Civil</t>
        </is>
      </c>
      <c r="G139" s="18" t="inlineStr"/>
      <c r="H139" s="18" t="inlineStr">
        <is>
          <t>ESTUCO OBRAS X 25KG - UND</t>
        </is>
      </c>
      <c r="I139" s="31" t="n">
        <v>4</v>
      </c>
      <c r="J139" s="32" t="n">
        <v>33500</v>
      </c>
      <c r="K139" s="32" t="n">
        <v>134000</v>
      </c>
      <c r="L139" s="18" t="inlineStr">
        <is>
          <t>IVA 19%</t>
        </is>
      </c>
      <c r="M139" s="32" t="n">
        <v>25460</v>
      </c>
      <c r="N139" s="32" t="n">
        <v>159460</v>
      </c>
      <c r="O139" s="18" t="inlineStr">
        <is>
          <t>JULIO CESAR DEAVILA MARTINEZ</t>
        </is>
      </c>
      <c r="P139" s="18" t="inlineStr">
        <is>
          <t>FERREPLASTICOS CALI S.A.S</t>
        </is>
      </c>
      <c r="Q139" s="18" t="inlineStr">
        <is>
          <t>PLANEADA</t>
        </is>
      </c>
      <c r="R139" s="18" t="inlineStr">
        <is>
          <t>TECHO</t>
        </is>
      </c>
      <c r="S139" s="18" t="inlineStr">
        <is>
          <t>EC 130217</t>
        </is>
      </c>
    </row>
    <row r="140">
      <c r="A140" s="27" t="n">
        <v>45889.71530092593</v>
      </c>
      <c r="B140" s="16" t="n">
        <v>262</v>
      </c>
      <c r="C140" s="16" t="n">
        <v>170</v>
      </c>
      <c r="D140" s="16" t="inlineStr">
        <is>
          <t>CERRADA</t>
        </is>
      </c>
      <c r="E140" s="16" t="inlineStr">
        <is>
          <t>PAGADA</t>
        </is>
      </c>
      <c r="F140" s="16" t="inlineStr">
        <is>
          <t>Obra Civil</t>
        </is>
      </c>
      <c r="G140" s="16" t="inlineStr"/>
      <c r="H140" s="16" t="inlineStr">
        <is>
          <t>TABLERO PANEL YESO 1.22M X 2.44M X 12.7MM - UND</t>
        </is>
      </c>
      <c r="I140" s="28" t="n">
        <v>10</v>
      </c>
      <c r="J140" s="29" t="n">
        <v>45000</v>
      </c>
      <c r="K140" s="29" t="n">
        <v>450000</v>
      </c>
      <c r="L140" s="16" t="inlineStr">
        <is>
          <t>IVA 19%</t>
        </is>
      </c>
      <c r="M140" s="29" t="n">
        <v>85500</v>
      </c>
      <c r="N140" s="29" t="n">
        <v>535500</v>
      </c>
      <c r="O140" s="16" t="inlineStr">
        <is>
          <t>JULIO CESAR DEAVILA MARTINEZ</t>
        </is>
      </c>
      <c r="P140" s="16" t="inlineStr">
        <is>
          <t>FERREPLASTICOS CALI S.A.S</t>
        </is>
      </c>
      <c r="Q140" s="16" t="inlineStr">
        <is>
          <t>PLANEADA</t>
        </is>
      </c>
      <c r="R140" s="16" t="inlineStr">
        <is>
          <t>TECHO</t>
        </is>
      </c>
      <c r="S140" s="16" t="inlineStr">
        <is>
          <t>EC 130217</t>
        </is>
      </c>
    </row>
    <row r="141">
      <c r="A141" s="30" t="n">
        <v>45889.71530092593</v>
      </c>
      <c r="B141" s="18" t="n">
        <v>262</v>
      </c>
      <c r="C141" s="18" t="n">
        <v>170</v>
      </c>
      <c r="D141" s="18" t="inlineStr">
        <is>
          <t>CERRADA</t>
        </is>
      </c>
      <c r="E141" s="18" t="inlineStr">
        <is>
          <t>PAGADA</t>
        </is>
      </c>
      <c r="F141" s="18" t="inlineStr">
        <is>
          <t>Obra Civil</t>
        </is>
      </c>
      <c r="G141" s="18" t="inlineStr"/>
      <c r="H141" s="18" t="inlineStr">
        <is>
          <t>ESTUCO RELLENO X 25KG - UND</t>
        </is>
      </c>
      <c r="I141" s="31" t="n">
        <v>4</v>
      </c>
      <c r="J141" s="32" t="n">
        <v>48000</v>
      </c>
      <c r="K141" s="32" t="n">
        <v>192000</v>
      </c>
      <c r="L141" s="18" t="inlineStr">
        <is>
          <t>IVA 19%</t>
        </is>
      </c>
      <c r="M141" s="32" t="n">
        <v>36480</v>
      </c>
      <c r="N141" s="32" t="n">
        <v>228480</v>
      </c>
      <c r="O141" s="18" t="inlineStr">
        <is>
          <t>JULIO CESAR DEAVILA MARTINEZ</t>
        </is>
      </c>
      <c r="P141" s="18" t="inlineStr">
        <is>
          <t>FERREPLASTICOS CALI S.A.S</t>
        </is>
      </c>
      <c r="Q141" s="18" t="inlineStr">
        <is>
          <t>PLANEADA</t>
        </is>
      </c>
      <c r="R141" s="18" t="inlineStr">
        <is>
          <t>TECHO</t>
        </is>
      </c>
      <c r="S141" s="18" t="inlineStr">
        <is>
          <t>EC 130217</t>
        </is>
      </c>
    </row>
    <row r="142">
      <c r="A142" s="27" t="n">
        <v>45889.71530092593</v>
      </c>
      <c r="B142" s="16" t="n">
        <v>262</v>
      </c>
      <c r="C142" s="16" t="n">
        <v>170</v>
      </c>
      <c r="D142" s="16" t="inlineStr">
        <is>
          <t>CERRADA</t>
        </is>
      </c>
      <c r="E142" s="16" t="inlineStr">
        <is>
          <t>PAGADA</t>
        </is>
      </c>
      <c r="F142" s="16" t="inlineStr">
        <is>
          <t>Obra Civil</t>
        </is>
      </c>
      <c r="G142" s="16" t="inlineStr"/>
      <c r="H142" s="16" t="inlineStr">
        <is>
          <t>VINILO BLANCO TIPO 1 PINTULAND (SUPERLAVABLE PARA INTERIORES Y EXTERIORES) X CUÑETE - UND</t>
        </is>
      </c>
      <c r="I142" s="28" t="n">
        <v>1</v>
      </c>
      <c r="J142" s="29" t="n">
        <v>362500</v>
      </c>
      <c r="K142" s="29" t="n">
        <v>362500</v>
      </c>
      <c r="L142" s="16" t="inlineStr">
        <is>
          <t>IVA 19%</t>
        </is>
      </c>
      <c r="M142" s="29" t="n">
        <v>68875</v>
      </c>
      <c r="N142" s="29" t="n">
        <v>431375</v>
      </c>
      <c r="O142" s="16" t="inlineStr">
        <is>
          <t>JULIO CESAR DEAVILA MARTINEZ</t>
        </is>
      </c>
      <c r="P142" s="16" t="inlineStr">
        <is>
          <t>FERREPLASTICOS CALI S.A.S</t>
        </is>
      </c>
      <c r="Q142" s="16" t="inlineStr">
        <is>
          <t>PLANEADA</t>
        </is>
      </c>
      <c r="R142" s="16" t="inlineStr">
        <is>
          <t>TECHO</t>
        </is>
      </c>
      <c r="S142" s="16" t="inlineStr">
        <is>
          <t>EC 130217</t>
        </is>
      </c>
    </row>
    <row r="143">
      <c r="A143" s="30" t="n">
        <v>45889.71114583333</v>
      </c>
      <c r="B143" s="18" t="n">
        <v>261</v>
      </c>
      <c r="C143" s="18" t="n">
        <v>166</v>
      </c>
      <c r="D143" s="18" t="inlineStr">
        <is>
          <t>CERRADA</t>
        </is>
      </c>
      <c r="E143" s="18" t="inlineStr">
        <is>
          <t>CAUSADA</t>
        </is>
      </c>
      <c r="F143" s="18" t="inlineStr">
        <is>
          <t>Electricos</t>
        </is>
      </c>
      <c r="G143" s="18" t="inlineStr"/>
      <c r="H143" s="18" t="inlineStr">
        <is>
          <t>GRAPA DOBLE ALA 3/4" - UND</t>
        </is>
      </c>
      <c r="I143" s="31" t="n">
        <v>10</v>
      </c>
      <c r="J143" s="32" t="n">
        <v>143.2</v>
      </c>
      <c r="K143" s="32" t="n">
        <v>1432</v>
      </c>
      <c r="L143" s="18" t="inlineStr">
        <is>
          <t>IVA 19%</t>
        </is>
      </c>
      <c r="M143" s="32" t="n">
        <v>272</v>
      </c>
      <c r="N143" s="32" t="n">
        <v>1704</v>
      </c>
      <c r="O143" s="18" t="inlineStr">
        <is>
          <t>JULIO CESAR DEAVILA MARTINEZ</t>
        </is>
      </c>
      <c r="P143" s="18" t="inlineStr">
        <is>
          <t>ELECTRICOS DEL VALLE SAS</t>
        </is>
      </c>
      <c r="Q143" s="18" t="inlineStr">
        <is>
          <t>PLANEADA</t>
        </is>
      </c>
      <c r="R143" s="18" t="inlineStr">
        <is>
          <t>TECHO</t>
        </is>
      </c>
      <c r="S143" s="18" t="inlineStr">
        <is>
          <t>EPE17577</t>
        </is>
      </c>
    </row>
    <row r="144">
      <c r="A144" s="27" t="n">
        <v>45889.71114583333</v>
      </c>
      <c r="B144" s="16" t="n">
        <v>261</v>
      </c>
      <c r="C144" s="16" t="n">
        <v>166</v>
      </c>
      <c r="D144" s="16" t="inlineStr">
        <is>
          <t>CERRADA</t>
        </is>
      </c>
      <c r="E144" s="16" t="inlineStr">
        <is>
          <t>CAUSADA</t>
        </is>
      </c>
      <c r="F144" s="16" t="inlineStr">
        <is>
          <t>Electricos</t>
        </is>
      </c>
      <c r="G144" s="16" t="inlineStr"/>
      <c r="H144" s="16" t="inlineStr">
        <is>
          <t>GRAPA 1/2" CONDUIT DOBLE ALA GALVANIZADA - IMC/PVC - UND</t>
        </is>
      </c>
      <c r="I144" s="28" t="n">
        <v>10</v>
      </c>
      <c r="J144" s="29" t="n">
        <v>157.1</v>
      </c>
      <c r="K144" s="29" t="n">
        <v>1571</v>
      </c>
      <c r="L144" s="16" t="inlineStr">
        <is>
          <t>IVA 19%</t>
        </is>
      </c>
      <c r="M144" s="29" t="n">
        <v>298</v>
      </c>
      <c r="N144" s="29" t="n">
        <v>1869</v>
      </c>
      <c r="O144" s="16" t="inlineStr">
        <is>
          <t>JULIO CESAR DEAVILA MARTINEZ</t>
        </is>
      </c>
      <c r="P144" s="16" t="inlineStr">
        <is>
          <t>ELECTRICOS DEL VALLE SAS</t>
        </is>
      </c>
      <c r="Q144" s="16" t="inlineStr">
        <is>
          <t>PLANEADA</t>
        </is>
      </c>
      <c r="R144" s="16" t="inlineStr">
        <is>
          <t>TECHO</t>
        </is>
      </c>
      <c r="S144" s="16" t="inlineStr">
        <is>
          <t>EPE17577</t>
        </is>
      </c>
    </row>
    <row r="145">
      <c r="A145" s="30" t="n">
        <v>45889.71114583333</v>
      </c>
      <c r="B145" s="18" t="n">
        <v>261</v>
      </c>
      <c r="C145" s="18" t="n">
        <v>166</v>
      </c>
      <c r="D145" s="18" t="inlineStr">
        <is>
          <t>CERRADA</t>
        </is>
      </c>
      <c r="E145" s="18" t="inlineStr">
        <is>
          <t>CAUSADA</t>
        </is>
      </c>
      <c r="F145" s="18" t="inlineStr">
        <is>
          <t>Electricos</t>
        </is>
      </c>
      <c r="G145" s="18" t="inlineStr"/>
      <c r="H145" s="18" t="inlineStr">
        <is>
          <t>GRAPA 1" CONDUIT DOBLE ALA GALVANIZADA - EMT EVSOLUTIONS - UND</t>
        </is>
      </c>
      <c r="I145" s="31" t="n">
        <v>10</v>
      </c>
      <c r="J145" s="32" t="n">
        <v>220.2</v>
      </c>
      <c r="K145" s="32" t="n">
        <v>2202</v>
      </c>
      <c r="L145" s="18" t="inlineStr">
        <is>
          <t>IVA 19%</t>
        </is>
      </c>
      <c r="M145" s="32" t="n">
        <v>418</v>
      </c>
      <c r="N145" s="32" t="n">
        <v>2620</v>
      </c>
      <c r="O145" s="18" t="inlineStr">
        <is>
          <t>JULIO CESAR DEAVILA MARTINEZ</t>
        </is>
      </c>
      <c r="P145" s="18" t="inlineStr">
        <is>
          <t>ELECTRICOS DEL VALLE SAS</t>
        </is>
      </c>
      <c r="Q145" s="18" t="inlineStr">
        <is>
          <t>PLANEADA</t>
        </is>
      </c>
      <c r="R145" s="18" t="inlineStr">
        <is>
          <t>TECHO</t>
        </is>
      </c>
      <c r="S145" s="18" t="inlineStr">
        <is>
          <t>EPE17577</t>
        </is>
      </c>
    </row>
    <row r="146">
      <c r="A146" s="27" t="n">
        <v>45889.71114583333</v>
      </c>
      <c r="B146" s="16" t="n">
        <v>261</v>
      </c>
      <c r="C146" s="16" t="n">
        <v>166</v>
      </c>
      <c r="D146" s="16" t="inlineStr">
        <is>
          <t>CERRADA</t>
        </is>
      </c>
      <c r="E146" s="16" t="inlineStr">
        <is>
          <t>CAUSADA</t>
        </is>
      </c>
      <c r="F146" s="16" t="inlineStr">
        <is>
          <t>Electricos</t>
        </is>
      </c>
      <c r="G146" s="16" t="inlineStr"/>
      <c r="H146" s="16" t="inlineStr">
        <is>
          <t>UNION 1/2" IMC GALVANIZADA E.V SOLUTIONS 1301-RL-860 - UND</t>
        </is>
      </c>
      <c r="I146" s="28" t="n">
        <v>10</v>
      </c>
      <c r="J146" s="29" t="n">
        <v>480.3</v>
      </c>
      <c r="K146" s="29" t="n">
        <v>4803</v>
      </c>
      <c r="L146" s="16" t="inlineStr">
        <is>
          <t>IVA 19%</t>
        </is>
      </c>
      <c r="M146" s="29" t="n">
        <v>912</v>
      </c>
      <c r="N146" s="29" t="n">
        <v>5715</v>
      </c>
      <c r="O146" s="16" t="inlineStr">
        <is>
          <t>JULIO CESAR DEAVILA MARTINEZ</t>
        </is>
      </c>
      <c r="P146" s="16" t="inlineStr">
        <is>
          <t>ELECTRICOS DEL VALLE SAS</t>
        </is>
      </c>
      <c r="Q146" s="16" t="inlineStr">
        <is>
          <t>PLANEADA</t>
        </is>
      </c>
      <c r="R146" s="16" t="inlineStr">
        <is>
          <t>TECHO</t>
        </is>
      </c>
      <c r="S146" s="16" t="inlineStr">
        <is>
          <t>EPE17577</t>
        </is>
      </c>
    </row>
    <row r="147">
      <c r="A147" s="30" t="n">
        <v>45889.71114583333</v>
      </c>
      <c r="B147" s="18" t="n">
        <v>261</v>
      </c>
      <c r="C147" s="18" t="n">
        <v>166</v>
      </c>
      <c r="D147" s="18" t="inlineStr">
        <is>
          <t>CERRADA</t>
        </is>
      </c>
      <c r="E147" s="18" t="inlineStr">
        <is>
          <t>CAUSADA</t>
        </is>
      </c>
      <c r="F147" s="18" t="inlineStr">
        <is>
          <t>Electricos</t>
        </is>
      </c>
      <c r="G147" s="18" t="inlineStr"/>
      <c r="H147" s="18" t="inlineStr">
        <is>
          <t>ADAPTADOR 1/2" SCH-40 - UND</t>
        </is>
      </c>
      <c r="I147" s="31" t="n">
        <v>4</v>
      </c>
      <c r="J147" s="32" t="n">
        <v>527.25</v>
      </c>
      <c r="K147" s="32" t="n">
        <v>2109</v>
      </c>
      <c r="L147" s="18" t="inlineStr">
        <is>
          <t>IVA 19%</t>
        </is>
      </c>
      <c r="M147" s="32" t="n">
        <v>400</v>
      </c>
      <c r="N147" s="32" t="n">
        <v>2509</v>
      </c>
      <c r="O147" s="18" t="inlineStr">
        <is>
          <t>JULIO CESAR DEAVILA MARTINEZ</t>
        </is>
      </c>
      <c r="P147" s="18" t="inlineStr">
        <is>
          <t>ELECTRICOS DEL VALLE SAS</t>
        </is>
      </c>
      <c r="Q147" s="18" t="inlineStr">
        <is>
          <t>PLANEADA</t>
        </is>
      </c>
      <c r="R147" s="18" t="inlineStr">
        <is>
          <t>TECHO</t>
        </is>
      </c>
      <c r="S147" s="18" t="inlineStr">
        <is>
          <t>EPE17577</t>
        </is>
      </c>
    </row>
    <row r="148">
      <c r="A148" s="27" t="n">
        <v>45889.71114583333</v>
      </c>
      <c r="B148" s="16" t="n">
        <v>261</v>
      </c>
      <c r="C148" s="16" t="n">
        <v>166</v>
      </c>
      <c r="D148" s="16" t="inlineStr">
        <is>
          <t>CERRADA</t>
        </is>
      </c>
      <c r="E148" s="16" t="inlineStr">
        <is>
          <t>CAUSADA</t>
        </is>
      </c>
      <c r="F148" s="16" t="inlineStr">
        <is>
          <t>Electricos</t>
        </is>
      </c>
      <c r="G148" s="16" t="inlineStr"/>
      <c r="H148" s="16" t="inlineStr">
        <is>
          <t>UNION 1/2" EMT ACERO E.V - UND</t>
        </is>
      </c>
      <c r="I148" s="28" t="n">
        <v>10</v>
      </c>
      <c r="J148" s="29" t="n">
        <v>586.7</v>
      </c>
      <c r="K148" s="29" t="n">
        <v>5867</v>
      </c>
      <c r="L148" s="16" t="inlineStr">
        <is>
          <t>IVA 19%</t>
        </is>
      </c>
      <c r="M148" s="29" t="n">
        <v>1114</v>
      </c>
      <c r="N148" s="29" t="n">
        <v>6981</v>
      </c>
      <c r="O148" s="16" t="inlineStr">
        <is>
          <t>JULIO CESAR DEAVILA MARTINEZ</t>
        </is>
      </c>
      <c r="P148" s="16" t="inlineStr">
        <is>
          <t>ELECTRICOS DEL VALLE SAS</t>
        </is>
      </c>
      <c r="Q148" s="16" t="inlineStr">
        <is>
          <t>PLANEADA</t>
        </is>
      </c>
      <c r="R148" s="16" t="inlineStr">
        <is>
          <t>TECHO</t>
        </is>
      </c>
      <c r="S148" s="16" t="inlineStr">
        <is>
          <t>EPE17577</t>
        </is>
      </c>
    </row>
    <row r="149">
      <c r="A149" s="30" t="n">
        <v>45889.71114583333</v>
      </c>
      <c r="B149" s="18" t="n">
        <v>261</v>
      </c>
      <c r="C149" s="18" t="n">
        <v>166</v>
      </c>
      <c r="D149" s="18" t="inlineStr">
        <is>
          <t>CERRADA</t>
        </is>
      </c>
      <c r="E149" s="18" t="inlineStr">
        <is>
          <t>CAUSADA</t>
        </is>
      </c>
      <c r="F149" s="18" t="inlineStr">
        <is>
          <t>Electricos</t>
        </is>
      </c>
      <c r="G149" s="18" t="inlineStr"/>
      <c r="H149" s="18" t="inlineStr">
        <is>
          <t>ADAPTADOR 1/2"EMT - UND</t>
        </is>
      </c>
      <c r="I149" s="31" t="n">
        <v>4</v>
      </c>
      <c r="J149" s="32" t="n">
        <v>673</v>
      </c>
      <c r="K149" s="32" t="n">
        <v>2692</v>
      </c>
      <c r="L149" s="18" t="inlineStr">
        <is>
          <t>IVA 19%</t>
        </is>
      </c>
      <c r="M149" s="32" t="n">
        <v>511</v>
      </c>
      <c r="N149" s="32" t="n">
        <v>3203</v>
      </c>
      <c r="O149" s="18" t="inlineStr">
        <is>
          <t>JULIO CESAR DEAVILA MARTINEZ</t>
        </is>
      </c>
      <c r="P149" s="18" t="inlineStr">
        <is>
          <t>ELECTRICOS DEL VALLE SAS</t>
        </is>
      </c>
      <c r="Q149" s="18" t="inlineStr">
        <is>
          <t>PLANEADA</t>
        </is>
      </c>
      <c r="R149" s="18" t="inlineStr">
        <is>
          <t>TECHO</t>
        </is>
      </c>
      <c r="S149" s="18" t="inlineStr">
        <is>
          <t>EPE17577</t>
        </is>
      </c>
    </row>
    <row r="150">
      <c r="A150" s="27" t="n">
        <v>45889.71114583333</v>
      </c>
      <c r="B150" s="16" t="n">
        <v>261</v>
      </c>
      <c r="C150" s="16" t="n">
        <v>166</v>
      </c>
      <c r="D150" s="16" t="inlineStr">
        <is>
          <t>CERRADA</t>
        </is>
      </c>
      <c r="E150" s="16" t="inlineStr">
        <is>
          <t>CAUSADA</t>
        </is>
      </c>
      <c r="F150" s="16" t="inlineStr">
        <is>
          <t>Electricos</t>
        </is>
      </c>
      <c r="G150" s="16" t="inlineStr"/>
      <c r="H150" s="16" t="inlineStr">
        <is>
          <t>ABRAZADERA AJUSTABLE 3/4" - UND</t>
        </is>
      </c>
      <c r="I150" s="28" t="n">
        <v>70</v>
      </c>
      <c r="J150" s="29" t="n">
        <v>725.34</v>
      </c>
      <c r="K150" s="29" t="n">
        <v>50773.8</v>
      </c>
      <c r="L150" s="16" t="inlineStr">
        <is>
          <t>IVA 19%</t>
        </is>
      </c>
      <c r="M150" s="29" t="n">
        <v>9647</v>
      </c>
      <c r="N150" s="29" t="n">
        <v>60420.8</v>
      </c>
      <c r="O150" s="16" t="inlineStr">
        <is>
          <t>JULIO CESAR DEAVILA MARTINEZ</t>
        </is>
      </c>
      <c r="P150" s="16" t="inlineStr">
        <is>
          <t>ELECTRICOS DEL VALLE SAS</t>
        </is>
      </c>
      <c r="Q150" s="16" t="inlineStr">
        <is>
          <t>PLANEADA</t>
        </is>
      </c>
      <c r="R150" s="16" t="inlineStr">
        <is>
          <t>TECHO</t>
        </is>
      </c>
      <c r="S150" s="16" t="inlineStr">
        <is>
          <t>EPE17577</t>
        </is>
      </c>
    </row>
    <row r="151">
      <c r="A151" s="30" t="n">
        <v>45889.71114583333</v>
      </c>
      <c r="B151" s="18" t="n">
        <v>261</v>
      </c>
      <c r="C151" s="18" t="n">
        <v>166</v>
      </c>
      <c r="D151" s="18" t="inlineStr">
        <is>
          <t>CERRADA</t>
        </is>
      </c>
      <c r="E151" s="18" t="inlineStr">
        <is>
          <t>CAUSADA</t>
        </is>
      </c>
      <c r="F151" s="18" t="inlineStr">
        <is>
          <t>Electricos</t>
        </is>
      </c>
      <c r="G151" s="18" t="inlineStr"/>
      <c r="H151" s="18" t="inlineStr">
        <is>
          <t>ABRAZADERA AJUSTABLE 1/2" - UND</t>
        </is>
      </c>
      <c r="I151" s="31" t="n">
        <v>25</v>
      </c>
      <c r="J151" s="32" t="n">
        <v>736.88</v>
      </c>
      <c r="K151" s="32" t="n">
        <v>18422</v>
      </c>
      <c r="L151" s="18" t="inlineStr">
        <is>
          <t>IVA 19%</t>
        </is>
      </c>
      <c r="M151" s="32" t="n">
        <v>3500</v>
      </c>
      <c r="N151" s="32" t="n">
        <v>21922</v>
      </c>
      <c r="O151" s="18" t="inlineStr">
        <is>
          <t>JULIO CESAR DEAVILA MARTINEZ</t>
        </is>
      </c>
      <c r="P151" s="18" t="inlineStr">
        <is>
          <t>ELECTRICOS DEL VALLE SAS</t>
        </is>
      </c>
      <c r="Q151" s="18" t="inlineStr">
        <is>
          <t>PLANEADA</t>
        </is>
      </c>
      <c r="R151" s="18" t="inlineStr">
        <is>
          <t>TECHO</t>
        </is>
      </c>
      <c r="S151" s="18" t="inlineStr">
        <is>
          <t>EPE17577</t>
        </is>
      </c>
    </row>
    <row r="152">
      <c r="A152" s="27" t="n">
        <v>45889.71114583333</v>
      </c>
      <c r="B152" s="16" t="n">
        <v>261</v>
      </c>
      <c r="C152" s="16" t="n">
        <v>166</v>
      </c>
      <c r="D152" s="16" t="inlineStr">
        <is>
          <t>CERRADA</t>
        </is>
      </c>
      <c r="E152" s="16" t="inlineStr">
        <is>
          <t>CAUSADA</t>
        </is>
      </c>
      <c r="F152" s="16" t="inlineStr">
        <is>
          <t>Electricos</t>
        </is>
      </c>
      <c r="G152" s="16" t="inlineStr"/>
      <c r="H152" s="16" t="inlineStr">
        <is>
          <t>ABRAZADERA AJUSTABLE 1" - UND</t>
        </is>
      </c>
      <c r="I152" s="28" t="n">
        <v>50</v>
      </c>
      <c r="J152" s="29" t="n">
        <v>757.6799999999999</v>
      </c>
      <c r="K152" s="29" t="n">
        <v>37884</v>
      </c>
      <c r="L152" s="16" t="inlineStr">
        <is>
          <t>IVA 19%</t>
        </is>
      </c>
      <c r="M152" s="29" t="n">
        <v>7197</v>
      </c>
      <c r="N152" s="29" t="n">
        <v>45081</v>
      </c>
      <c r="O152" s="16" t="inlineStr">
        <is>
          <t>JULIO CESAR DEAVILA MARTINEZ</t>
        </is>
      </c>
      <c r="P152" s="16" t="inlineStr">
        <is>
          <t>ELECTRICOS DEL VALLE SAS</t>
        </is>
      </c>
      <c r="Q152" s="16" t="inlineStr">
        <is>
          <t>PLANEADA</t>
        </is>
      </c>
      <c r="R152" s="16" t="inlineStr">
        <is>
          <t>TECHO</t>
        </is>
      </c>
      <c r="S152" s="16" t="inlineStr">
        <is>
          <t>EPE17577</t>
        </is>
      </c>
    </row>
    <row r="153">
      <c r="A153" s="30" t="n">
        <v>45889.71114583333</v>
      </c>
      <c r="B153" s="18" t="n">
        <v>261</v>
      </c>
      <c r="C153" s="18" t="n">
        <v>166</v>
      </c>
      <c r="D153" s="18" t="inlineStr">
        <is>
          <t>CERRADA</t>
        </is>
      </c>
      <c r="E153" s="18" t="inlineStr">
        <is>
          <t>CAUSADA</t>
        </is>
      </c>
      <c r="F153" s="18" t="inlineStr">
        <is>
          <t>Electricos</t>
        </is>
      </c>
      <c r="G153" s="18" t="inlineStr"/>
      <c r="H153" s="18" t="inlineStr">
        <is>
          <t>BORNA TERMINAL ROJA 8 AWG - 1/4 - UND</t>
        </is>
      </c>
      <c r="I153" s="31" t="n">
        <v>10</v>
      </c>
      <c r="J153" s="32" t="n">
        <v>850.4</v>
      </c>
      <c r="K153" s="32" t="n">
        <v>8504</v>
      </c>
      <c r="L153" s="18" t="inlineStr">
        <is>
          <t>IVA 19%</t>
        </is>
      </c>
      <c r="M153" s="32" t="n">
        <v>1615</v>
      </c>
      <c r="N153" s="32" t="n">
        <v>10119</v>
      </c>
      <c r="O153" s="18" t="inlineStr">
        <is>
          <t>JULIO CESAR DEAVILA MARTINEZ</t>
        </is>
      </c>
      <c r="P153" s="18" t="inlineStr">
        <is>
          <t>ELECTRICOS DEL VALLE SAS</t>
        </is>
      </c>
      <c r="Q153" s="18" t="inlineStr">
        <is>
          <t>PLANEADA</t>
        </is>
      </c>
      <c r="R153" s="18" t="inlineStr">
        <is>
          <t>TECHO</t>
        </is>
      </c>
      <c r="S153" s="18" t="inlineStr">
        <is>
          <t>EPE17577</t>
        </is>
      </c>
    </row>
    <row r="154">
      <c r="A154" s="27" t="n">
        <v>45889.71114583333</v>
      </c>
      <c r="B154" s="16" t="n">
        <v>261</v>
      </c>
      <c r="C154" s="16" t="n">
        <v>166</v>
      </c>
      <c r="D154" s="16" t="inlineStr">
        <is>
          <t>CERRADA</t>
        </is>
      </c>
      <c r="E154" s="16" t="inlineStr">
        <is>
          <t>CAUSADA</t>
        </is>
      </c>
      <c r="F154" s="16" t="inlineStr">
        <is>
          <t>Electricos</t>
        </is>
      </c>
      <c r="G154" s="16" t="inlineStr"/>
      <c r="H154" s="16" t="inlineStr">
        <is>
          <t>UNION 3/4" IMC - UND</t>
        </is>
      </c>
      <c r="I154" s="28" t="n">
        <v>10</v>
      </c>
      <c r="J154" s="29" t="n">
        <v>852.7</v>
      </c>
      <c r="K154" s="29" t="n">
        <v>8527</v>
      </c>
      <c r="L154" s="16" t="inlineStr">
        <is>
          <t>IVA 19%</t>
        </is>
      </c>
      <c r="M154" s="29" t="n">
        <v>1620</v>
      </c>
      <c r="N154" s="29" t="n">
        <v>10147</v>
      </c>
      <c r="O154" s="16" t="inlineStr">
        <is>
          <t>JULIO CESAR DEAVILA MARTINEZ</t>
        </is>
      </c>
      <c r="P154" s="16" t="inlineStr">
        <is>
          <t>ELECTRICOS DEL VALLE SAS</t>
        </is>
      </c>
      <c r="Q154" s="16" t="inlineStr">
        <is>
          <t>PLANEADA</t>
        </is>
      </c>
      <c r="R154" s="16" t="inlineStr">
        <is>
          <t>TECHO</t>
        </is>
      </c>
      <c r="S154" s="16" t="inlineStr">
        <is>
          <t>EPE17577</t>
        </is>
      </c>
    </row>
    <row r="155">
      <c r="A155" s="30" t="n">
        <v>45889.71114583333</v>
      </c>
      <c r="B155" s="18" t="n">
        <v>261</v>
      </c>
      <c r="C155" s="18" t="n">
        <v>166</v>
      </c>
      <c r="D155" s="18" t="inlineStr">
        <is>
          <t>CERRADA</t>
        </is>
      </c>
      <c r="E155" s="18" t="inlineStr">
        <is>
          <t>CAUSADA</t>
        </is>
      </c>
      <c r="F155" s="18" t="inlineStr">
        <is>
          <t>Electricos</t>
        </is>
      </c>
      <c r="G155" s="18" t="inlineStr"/>
      <c r="H155" s="18" t="inlineStr">
        <is>
          <t>UNION 1" IMC - UND</t>
        </is>
      </c>
      <c r="I155" s="31" t="n">
        <v>20</v>
      </c>
      <c r="J155" s="32" t="n">
        <v>889.2</v>
      </c>
      <c r="K155" s="32" t="n">
        <v>17784</v>
      </c>
      <c r="L155" s="18" t="inlineStr">
        <is>
          <t>IVA 19%</t>
        </is>
      </c>
      <c r="M155" s="32" t="n">
        <v>3378</v>
      </c>
      <c r="N155" s="32" t="n">
        <v>21162</v>
      </c>
      <c r="O155" s="18" t="inlineStr">
        <is>
          <t>JULIO CESAR DEAVILA MARTINEZ</t>
        </is>
      </c>
      <c r="P155" s="18" t="inlineStr">
        <is>
          <t>ELECTRICOS DEL VALLE SAS</t>
        </is>
      </c>
      <c r="Q155" s="18" t="inlineStr">
        <is>
          <t>PLANEADA</t>
        </is>
      </c>
      <c r="R155" s="18" t="inlineStr">
        <is>
          <t>TECHO</t>
        </is>
      </c>
      <c r="S155" s="18" t="inlineStr">
        <is>
          <t>EPE17577</t>
        </is>
      </c>
    </row>
    <row r="156">
      <c r="A156" s="27" t="n">
        <v>45889.71114583333</v>
      </c>
      <c r="B156" s="16" t="n">
        <v>261</v>
      </c>
      <c r="C156" s="16" t="n">
        <v>166</v>
      </c>
      <c r="D156" s="16" t="inlineStr">
        <is>
          <t>CERRADA</t>
        </is>
      </c>
      <c r="E156" s="16" t="inlineStr">
        <is>
          <t>CAUSADA</t>
        </is>
      </c>
      <c r="F156" s="16" t="inlineStr">
        <is>
          <t>Electricos</t>
        </is>
      </c>
      <c r="G156" s="16" t="inlineStr"/>
      <c r="H156" s="16" t="inlineStr">
        <is>
          <t>BORNA 4 AWG TERMINAL 1/H T/AMERICANO 1907-I004 - UND</t>
        </is>
      </c>
      <c r="I156" s="28" t="n">
        <v>6</v>
      </c>
      <c r="J156" s="29" t="n">
        <v>1337.66</v>
      </c>
      <c r="K156" s="29" t="n">
        <v>8025.96</v>
      </c>
      <c r="L156" s="16" t="inlineStr">
        <is>
          <t>IVA 19%</t>
        </is>
      </c>
      <c r="M156" s="29" t="n">
        <v>1524</v>
      </c>
      <c r="N156" s="29" t="n">
        <v>9549.959999999999</v>
      </c>
      <c r="O156" s="16" t="inlineStr">
        <is>
          <t>JULIO CESAR DEAVILA MARTINEZ</t>
        </is>
      </c>
      <c r="P156" s="16" t="inlineStr">
        <is>
          <t>ELECTRICOS DEL VALLE SAS</t>
        </is>
      </c>
      <c r="Q156" s="16" t="inlineStr">
        <is>
          <t>PLANEADA</t>
        </is>
      </c>
      <c r="R156" s="16" t="inlineStr">
        <is>
          <t>TECHO</t>
        </is>
      </c>
      <c r="S156" s="16" t="inlineStr">
        <is>
          <t>EPE17577</t>
        </is>
      </c>
    </row>
    <row r="157">
      <c r="A157" s="30" t="n">
        <v>45889.71114583333</v>
      </c>
      <c r="B157" s="18" t="n">
        <v>261</v>
      </c>
      <c r="C157" s="18" t="n">
        <v>166</v>
      </c>
      <c r="D157" s="18" t="inlineStr">
        <is>
          <t>CERRADA</t>
        </is>
      </c>
      <c r="E157" s="18" t="inlineStr">
        <is>
          <t>CAUSADA</t>
        </is>
      </c>
      <c r="F157" s="18" t="inlineStr">
        <is>
          <t>Electricos</t>
        </is>
      </c>
      <c r="G157" s="18" t="inlineStr"/>
      <c r="H157" s="18" t="inlineStr">
        <is>
          <t>ABRAZADERA AJUSTABLE 3" - UND</t>
        </is>
      </c>
      <c r="I157" s="31" t="n">
        <v>15</v>
      </c>
      <c r="J157" s="32" t="n">
        <v>1881.86</v>
      </c>
      <c r="K157" s="32" t="n">
        <v>28227.9</v>
      </c>
      <c r="L157" s="18" t="inlineStr">
        <is>
          <t>IVA 19%</t>
        </is>
      </c>
      <c r="M157" s="32" t="n">
        <v>5363</v>
      </c>
      <c r="N157" s="32" t="n">
        <v>33590.9</v>
      </c>
      <c r="O157" s="18" t="inlineStr">
        <is>
          <t>JULIO CESAR DEAVILA MARTINEZ</t>
        </is>
      </c>
      <c r="P157" s="18" t="inlineStr">
        <is>
          <t>ELECTRICOS DEL VALLE SAS</t>
        </is>
      </c>
      <c r="Q157" s="18" t="inlineStr">
        <is>
          <t>PLANEADA</t>
        </is>
      </c>
      <c r="R157" s="18" t="inlineStr">
        <is>
          <t>TECHO</t>
        </is>
      </c>
      <c r="S157" s="18" t="inlineStr">
        <is>
          <t>EPE17577</t>
        </is>
      </c>
    </row>
    <row r="158">
      <c r="A158" s="27" t="n">
        <v>45889.71114583333</v>
      </c>
      <c r="B158" s="16" t="n">
        <v>261</v>
      </c>
      <c r="C158" s="16" t="n">
        <v>166</v>
      </c>
      <c r="D158" s="16" t="inlineStr">
        <is>
          <t>CERRADA</t>
        </is>
      </c>
      <c r="E158" s="16" t="inlineStr">
        <is>
          <t>CAUSADA</t>
        </is>
      </c>
      <c r="F158" s="16" t="inlineStr">
        <is>
          <t>Electricos</t>
        </is>
      </c>
      <c r="G158" s="16" t="inlineStr"/>
      <c r="H158" s="16" t="inlineStr">
        <is>
          <t>CONECTOR RECTO DE CORAZA 1/2" - UND</t>
        </is>
      </c>
      <c r="I158" s="28" t="n">
        <v>4</v>
      </c>
      <c r="J158" s="29" t="n">
        <v>2052</v>
      </c>
      <c r="K158" s="29" t="n">
        <v>8208</v>
      </c>
      <c r="L158" s="16" t="inlineStr">
        <is>
          <t>IVA 19%</t>
        </is>
      </c>
      <c r="M158" s="29" t="n">
        <v>1559</v>
      </c>
      <c r="N158" s="29" t="n">
        <v>9767</v>
      </c>
      <c r="O158" s="16" t="inlineStr">
        <is>
          <t>JULIO CESAR DEAVILA MARTINEZ</t>
        </is>
      </c>
      <c r="P158" s="16" t="inlineStr">
        <is>
          <t>ELECTRICOS DEL VALLE SAS</t>
        </is>
      </c>
      <c r="Q158" s="16" t="inlineStr">
        <is>
          <t>PLANEADA</t>
        </is>
      </c>
      <c r="R158" s="16" t="inlineStr">
        <is>
          <t>TECHO</t>
        </is>
      </c>
      <c r="S158" s="16" t="inlineStr">
        <is>
          <t>EPE17577</t>
        </is>
      </c>
    </row>
    <row r="159">
      <c r="A159" s="30" t="n">
        <v>45889.71114583333</v>
      </c>
      <c r="B159" s="18" t="n">
        <v>261</v>
      </c>
      <c r="C159" s="18" t="n">
        <v>166</v>
      </c>
      <c r="D159" s="18" t="inlineStr">
        <is>
          <t>CERRADA</t>
        </is>
      </c>
      <c r="E159" s="18" t="inlineStr">
        <is>
          <t>CAUSADA</t>
        </is>
      </c>
      <c r="F159" s="18" t="inlineStr">
        <is>
          <t>Electricos</t>
        </is>
      </c>
      <c r="G159" s="18" t="inlineStr"/>
      <c r="H159" s="18" t="inlineStr">
        <is>
          <t>CONECTOR RECTO DE CORAZA  3/4" - UND</t>
        </is>
      </c>
      <c r="I159" s="31" t="n">
        <v>14</v>
      </c>
      <c r="J159" s="32" t="n">
        <v>2944.21</v>
      </c>
      <c r="K159" s="32" t="n">
        <v>41218.94</v>
      </c>
      <c r="L159" s="18" t="inlineStr">
        <is>
          <t>IVA 19%</t>
        </is>
      </c>
      <c r="M159" s="32" t="n">
        <v>7831</v>
      </c>
      <c r="N159" s="32" t="n">
        <v>49049.94</v>
      </c>
      <c r="O159" s="18" t="inlineStr">
        <is>
          <t>JULIO CESAR DEAVILA MARTINEZ</t>
        </is>
      </c>
      <c r="P159" s="18" t="inlineStr">
        <is>
          <t>ELECTRICOS DEL VALLE SAS</t>
        </is>
      </c>
      <c r="Q159" s="18" t="inlineStr">
        <is>
          <t>PLANEADA</t>
        </is>
      </c>
      <c r="R159" s="18" t="inlineStr">
        <is>
          <t>TECHO</t>
        </is>
      </c>
      <c r="S159" s="18" t="inlineStr">
        <is>
          <t>EPE17577</t>
        </is>
      </c>
    </row>
    <row r="160">
      <c r="A160" s="27" t="n">
        <v>45889.71114583333</v>
      </c>
      <c r="B160" s="16" t="n">
        <v>261</v>
      </c>
      <c r="C160" s="16" t="n">
        <v>166</v>
      </c>
      <c r="D160" s="16" t="inlineStr">
        <is>
          <t>CERRADA</t>
        </is>
      </c>
      <c r="E160" s="16" t="inlineStr">
        <is>
          <t>CAUSADA</t>
        </is>
      </c>
      <c r="F160" s="16" t="inlineStr">
        <is>
          <t>Electricos</t>
        </is>
      </c>
      <c r="G160" s="16" t="inlineStr"/>
      <c r="H160" s="16" t="inlineStr">
        <is>
          <t>SUJETADOR BANDEJA PER (MORD 3/8+ARAN CUAD7/16 – GALCO - UND</t>
        </is>
      </c>
      <c r="I160" s="28" t="n">
        <v>30</v>
      </c>
      <c r="J160" s="29" t="n">
        <v>3555.86</v>
      </c>
      <c r="K160" s="29" t="n">
        <v>106675.8</v>
      </c>
      <c r="L160" s="16" t="inlineStr">
        <is>
          <t>IVA 19%</t>
        </is>
      </c>
      <c r="M160" s="29" t="n">
        <v>20268</v>
      </c>
      <c r="N160" s="29" t="n">
        <v>126943.8</v>
      </c>
      <c r="O160" s="16" t="inlineStr">
        <is>
          <t>JULIO CESAR DEAVILA MARTINEZ</t>
        </is>
      </c>
      <c r="P160" s="16" t="inlineStr">
        <is>
          <t>ELECTRICOS DEL VALLE SAS</t>
        </is>
      </c>
      <c r="Q160" s="16" t="inlineStr">
        <is>
          <t>PLANEADA</t>
        </is>
      </c>
      <c r="R160" s="16" t="inlineStr">
        <is>
          <t>TECHO</t>
        </is>
      </c>
      <c r="S160" s="16" t="inlineStr">
        <is>
          <t>EPE17577</t>
        </is>
      </c>
    </row>
    <row r="161">
      <c r="A161" s="30" t="n">
        <v>45889.71114583333</v>
      </c>
      <c r="B161" s="18" t="n">
        <v>261</v>
      </c>
      <c r="C161" s="18" t="n">
        <v>166</v>
      </c>
      <c r="D161" s="18" t="inlineStr">
        <is>
          <t>CERRADA</t>
        </is>
      </c>
      <c r="E161" s="18" t="inlineStr">
        <is>
          <t>CAUSADA</t>
        </is>
      </c>
      <c r="F161" s="18" t="inlineStr">
        <is>
          <t>Electricos</t>
        </is>
      </c>
      <c r="G161" s="18" t="inlineStr"/>
      <c r="H161" s="18" t="inlineStr">
        <is>
          <t>CONECTOR RECTO DE CORAZA  1" - UND</t>
        </is>
      </c>
      <c r="I161" s="31" t="n">
        <v>12</v>
      </c>
      <c r="J161" s="32" t="n">
        <v>4205.83</v>
      </c>
      <c r="K161" s="32" t="n">
        <v>50469.96</v>
      </c>
      <c r="L161" s="18" t="inlineStr">
        <is>
          <t>IVA 19%</t>
        </is>
      </c>
      <c r="M161" s="32" t="n">
        <v>9589</v>
      </c>
      <c r="N161" s="32" t="n">
        <v>60058.96</v>
      </c>
      <c r="O161" s="18" t="inlineStr">
        <is>
          <t>JULIO CESAR DEAVILA MARTINEZ</t>
        </is>
      </c>
      <c r="P161" s="18" t="inlineStr">
        <is>
          <t>ELECTRICOS DEL VALLE SAS</t>
        </is>
      </c>
      <c r="Q161" s="18" t="inlineStr">
        <is>
          <t>PLANEADA</t>
        </is>
      </c>
      <c r="R161" s="18" t="inlineStr">
        <is>
          <t>TECHO</t>
        </is>
      </c>
      <c r="S161" s="18" t="inlineStr">
        <is>
          <t>EPE17577</t>
        </is>
      </c>
    </row>
    <row r="162">
      <c r="A162" s="27" t="n">
        <v>45889.71114583333</v>
      </c>
      <c r="B162" s="16" t="n">
        <v>261</v>
      </c>
      <c r="C162" s="16" t="n">
        <v>166</v>
      </c>
      <c r="D162" s="16" t="inlineStr">
        <is>
          <t>CERRADA</t>
        </is>
      </c>
      <c r="E162" s="16" t="inlineStr">
        <is>
          <t>CAUSADA</t>
        </is>
      </c>
      <c r="F162" s="16" t="inlineStr">
        <is>
          <t>Electricos</t>
        </is>
      </c>
      <c r="G162" s="16" t="inlineStr"/>
      <c r="H162" s="16" t="inlineStr">
        <is>
          <t>CORAZA AMERICANA 1/2" - METRO</t>
        </is>
      </c>
      <c r="I162" s="28" t="n">
        <v>5</v>
      </c>
      <c r="J162" s="29" t="n">
        <v>4246.8</v>
      </c>
      <c r="K162" s="29" t="n">
        <v>21234</v>
      </c>
      <c r="L162" s="16" t="inlineStr">
        <is>
          <t>IVA 19%</t>
        </is>
      </c>
      <c r="M162" s="29" t="n">
        <v>4034</v>
      </c>
      <c r="N162" s="29" t="n">
        <v>25268</v>
      </c>
      <c r="O162" s="16" t="inlineStr">
        <is>
          <t>JULIO CESAR DEAVILA MARTINEZ</t>
        </is>
      </c>
      <c r="P162" s="16" t="inlineStr">
        <is>
          <t>ELECTRICOS DEL VALLE SAS</t>
        </is>
      </c>
      <c r="Q162" s="16" t="inlineStr">
        <is>
          <t>PLANEADA</t>
        </is>
      </c>
      <c r="R162" s="16" t="inlineStr">
        <is>
          <t>TECHO</t>
        </is>
      </c>
      <c r="S162" s="16" t="inlineStr">
        <is>
          <t>EPE17577</t>
        </is>
      </c>
    </row>
    <row r="163">
      <c r="A163" s="30" t="n">
        <v>45889.71114583333</v>
      </c>
      <c r="B163" s="18" t="n">
        <v>261</v>
      </c>
      <c r="C163" s="18" t="n">
        <v>166</v>
      </c>
      <c r="D163" s="18" t="inlineStr">
        <is>
          <t>CERRADA</t>
        </is>
      </c>
      <c r="E163" s="18" t="inlineStr">
        <is>
          <t>CAUSADA</t>
        </is>
      </c>
      <c r="F163" s="18" t="inlineStr">
        <is>
          <t>Electricos</t>
        </is>
      </c>
      <c r="G163" s="18" t="inlineStr"/>
      <c r="H163" s="18" t="inlineStr">
        <is>
          <t>PRENSAESTOPA 1" 25-21 MM PG29 COMPLETA 50 DEXSON - UND</t>
        </is>
      </c>
      <c r="I163" s="31" t="n">
        <v>8</v>
      </c>
      <c r="J163" s="32" t="n">
        <v>4338.87</v>
      </c>
      <c r="K163" s="32" t="n">
        <v>34710.96</v>
      </c>
      <c r="L163" s="18" t="inlineStr">
        <is>
          <t>IVA 19%</t>
        </is>
      </c>
      <c r="M163" s="32" t="n">
        <v>6595</v>
      </c>
      <c r="N163" s="32" t="n">
        <v>41305.96</v>
      </c>
      <c r="O163" s="18" t="inlineStr">
        <is>
          <t>JULIO CESAR DEAVILA MARTINEZ</t>
        </is>
      </c>
      <c r="P163" s="18" t="inlineStr">
        <is>
          <t>ELECTRICOS DEL VALLE SAS</t>
        </is>
      </c>
      <c r="Q163" s="18" t="inlineStr">
        <is>
          <t>PLANEADA</t>
        </is>
      </c>
      <c r="R163" s="18" t="inlineStr">
        <is>
          <t>TECHO</t>
        </is>
      </c>
      <c r="S163" s="18" t="inlineStr">
        <is>
          <t>EPE17577</t>
        </is>
      </c>
    </row>
    <row r="164">
      <c r="A164" s="27" t="n">
        <v>45889.71114583333</v>
      </c>
      <c r="B164" s="16" t="n">
        <v>261</v>
      </c>
      <c r="C164" s="16" t="n">
        <v>166</v>
      </c>
      <c r="D164" s="16" t="inlineStr">
        <is>
          <t>CERRADA</t>
        </is>
      </c>
      <c r="E164" s="16" t="inlineStr">
        <is>
          <t>CAUSADA</t>
        </is>
      </c>
      <c r="F164" s="16" t="inlineStr">
        <is>
          <t>Electricos</t>
        </is>
      </c>
      <c r="G164" s="16" t="inlineStr"/>
      <c r="H164" s="16" t="inlineStr">
        <is>
          <t>BORNA 2/0 AWG TERMINAL NEGRA CU ESTAÑADO - UND</t>
        </is>
      </c>
      <c r="I164" s="28" t="n">
        <v>10</v>
      </c>
      <c r="J164" s="29" t="n">
        <v>4732.5</v>
      </c>
      <c r="K164" s="29" t="n">
        <v>47325</v>
      </c>
      <c r="L164" s="16" t="inlineStr">
        <is>
          <t>IVA 19%</t>
        </is>
      </c>
      <c r="M164" s="29" t="n">
        <v>8991</v>
      </c>
      <c r="N164" s="29" t="n">
        <v>56316</v>
      </c>
      <c r="O164" s="16" t="inlineStr">
        <is>
          <t>JULIO CESAR DEAVILA MARTINEZ</t>
        </is>
      </c>
      <c r="P164" s="16" t="inlineStr">
        <is>
          <t>ELECTRICOS DEL VALLE SAS</t>
        </is>
      </c>
      <c r="Q164" s="16" t="inlineStr">
        <is>
          <t>PLANEADA</t>
        </is>
      </c>
      <c r="R164" s="16" t="inlineStr">
        <is>
          <t>TECHO</t>
        </is>
      </c>
      <c r="S164" s="16" t="inlineStr">
        <is>
          <t>EPE17577</t>
        </is>
      </c>
    </row>
    <row r="165">
      <c r="A165" s="30" t="n">
        <v>45889.71114583333</v>
      </c>
      <c r="B165" s="18" t="n">
        <v>261</v>
      </c>
      <c r="C165" s="18" t="n">
        <v>166</v>
      </c>
      <c r="D165" s="18" t="inlineStr">
        <is>
          <t>CERRADA</t>
        </is>
      </c>
      <c r="E165" s="18" t="inlineStr">
        <is>
          <t>CAUSADA</t>
        </is>
      </c>
      <c r="F165" s="18" t="inlineStr">
        <is>
          <t>Electricos</t>
        </is>
      </c>
      <c r="G165" s="18" t="inlineStr"/>
      <c r="H165" s="18" t="inlineStr">
        <is>
          <t>CINTA NEGRA PVC AISLANTE  X 20 MTS (T5 PLYMOUTH X 19 MM) 1907-1-N10-5228 - UND</t>
        </is>
      </c>
      <c r="I165" s="31" t="n">
        <v>3</v>
      </c>
      <c r="J165" s="32" t="n">
        <v>5147.33</v>
      </c>
      <c r="K165" s="32" t="n">
        <v>15441.99</v>
      </c>
      <c r="L165" s="18" t="inlineStr">
        <is>
          <t>IVA 19%</t>
        </is>
      </c>
      <c r="M165" s="32" t="n">
        <v>2933</v>
      </c>
      <c r="N165" s="32" t="n">
        <v>18374.99</v>
      </c>
      <c r="O165" s="18" t="inlineStr">
        <is>
          <t>JULIO CESAR DEAVILA MARTINEZ</t>
        </is>
      </c>
      <c r="P165" s="18" t="inlineStr">
        <is>
          <t>ELECTRICOS DEL VALLE SAS</t>
        </is>
      </c>
      <c r="Q165" s="18" t="inlineStr">
        <is>
          <t>PLANEADA</t>
        </is>
      </c>
      <c r="R165" s="18" t="inlineStr">
        <is>
          <t>TECHO</t>
        </is>
      </c>
      <c r="S165" s="18" t="inlineStr">
        <is>
          <t>EPE17577</t>
        </is>
      </c>
    </row>
    <row r="166">
      <c r="A166" s="27" t="n">
        <v>45889.71114583333</v>
      </c>
      <c r="B166" s="16" t="n">
        <v>261</v>
      </c>
      <c r="C166" s="16" t="n">
        <v>166</v>
      </c>
      <c r="D166" s="16" t="inlineStr">
        <is>
          <t>CERRADA</t>
        </is>
      </c>
      <c r="E166" s="16" t="inlineStr">
        <is>
          <t>CAUSADA</t>
        </is>
      </c>
      <c r="F166" s="16" t="inlineStr">
        <is>
          <t>Electricos</t>
        </is>
      </c>
      <c r="G166" s="16" t="inlineStr"/>
      <c r="H166" s="16" t="inlineStr">
        <is>
          <t>CINTA VERDE PVC AISLANTE  X 20 MTS (T5 PLYMOUTH X 19 MM) 1907-1-N10-5233 - UND</t>
        </is>
      </c>
      <c r="I166" s="28" t="n">
        <v>4</v>
      </c>
      <c r="J166" s="29" t="n">
        <v>5189.25</v>
      </c>
      <c r="K166" s="29" t="n">
        <v>20757</v>
      </c>
      <c r="L166" s="16" t="inlineStr">
        <is>
          <t>IVA 19%</t>
        </is>
      </c>
      <c r="M166" s="29" t="n">
        <v>3943</v>
      </c>
      <c r="N166" s="29" t="n">
        <v>24700</v>
      </c>
      <c r="O166" s="16" t="inlineStr">
        <is>
          <t>JULIO CESAR DEAVILA MARTINEZ</t>
        </is>
      </c>
      <c r="P166" s="16" t="inlineStr">
        <is>
          <t>ELECTRICOS DEL VALLE SAS</t>
        </is>
      </c>
      <c r="Q166" s="16" t="inlineStr">
        <is>
          <t>PLANEADA</t>
        </is>
      </c>
      <c r="R166" s="16" t="inlineStr">
        <is>
          <t>TECHO</t>
        </is>
      </c>
      <c r="S166" s="16" t="inlineStr">
        <is>
          <t>EPE17577</t>
        </is>
      </c>
    </row>
    <row r="167">
      <c r="A167" s="30" t="n">
        <v>45889.71114583333</v>
      </c>
      <c r="B167" s="18" t="n">
        <v>261</v>
      </c>
      <c r="C167" s="18" t="n">
        <v>166</v>
      </c>
      <c r="D167" s="18" t="inlineStr">
        <is>
          <t>CERRADA</t>
        </is>
      </c>
      <c r="E167" s="18" t="inlineStr">
        <is>
          <t>CAUSADA</t>
        </is>
      </c>
      <c r="F167" s="18" t="inlineStr">
        <is>
          <t>Electricos</t>
        </is>
      </c>
      <c r="G167" s="18" t="inlineStr"/>
      <c r="H167" s="18" t="inlineStr">
        <is>
          <t>AMARRAS 10" PLASTICAS 25CMS 4.8 50LB NEGRA E.V. 1401-TS1-1- 48250B - UND</t>
        </is>
      </c>
      <c r="I167" s="31" t="n">
        <v>6</v>
      </c>
      <c r="J167" s="32" t="n">
        <v>5275.33</v>
      </c>
      <c r="K167" s="32" t="n">
        <v>31651.98</v>
      </c>
      <c r="L167" s="18" t="inlineStr">
        <is>
          <t>IVA 19%</t>
        </is>
      </c>
      <c r="M167" s="32" t="n">
        <v>6013</v>
      </c>
      <c r="N167" s="32" t="n">
        <v>37664.98</v>
      </c>
      <c r="O167" s="18" t="inlineStr">
        <is>
          <t>JULIO CESAR DEAVILA MARTINEZ</t>
        </is>
      </c>
      <c r="P167" s="18" t="inlineStr">
        <is>
          <t>ELECTRICOS DEL VALLE SAS</t>
        </is>
      </c>
      <c r="Q167" s="18" t="inlineStr">
        <is>
          <t>PLANEADA</t>
        </is>
      </c>
      <c r="R167" s="18" t="inlineStr">
        <is>
          <t>TECHO</t>
        </is>
      </c>
      <c r="S167" s="18" t="inlineStr">
        <is>
          <t>EPE17577</t>
        </is>
      </c>
    </row>
    <row r="168">
      <c r="A168" s="27" t="n">
        <v>45889.71114583333</v>
      </c>
      <c r="B168" s="16" t="n">
        <v>261</v>
      </c>
      <c r="C168" s="16" t="n">
        <v>166</v>
      </c>
      <c r="D168" s="16" t="inlineStr">
        <is>
          <t>CERRADA</t>
        </is>
      </c>
      <c r="E168" s="16" t="inlineStr">
        <is>
          <t>CAUSADA</t>
        </is>
      </c>
      <c r="F168" s="16" t="inlineStr">
        <is>
          <t>Electricos</t>
        </is>
      </c>
      <c r="G168" s="16" t="inlineStr"/>
      <c r="H168" s="16" t="inlineStr">
        <is>
          <t>CORAZA AMERICANA 3/4" METRO - METRO</t>
        </is>
      </c>
      <c r="I168" s="28" t="n">
        <v>36</v>
      </c>
      <c r="J168" s="29" t="n">
        <v>5396.75</v>
      </c>
      <c r="K168" s="29" t="n">
        <v>194283</v>
      </c>
      <c r="L168" s="16" t="inlineStr">
        <is>
          <t>IVA 19%</t>
        </is>
      </c>
      <c r="M168" s="29" t="n">
        <v>36913</v>
      </c>
      <c r="N168" s="29" t="n">
        <v>231196</v>
      </c>
      <c r="O168" s="16" t="inlineStr">
        <is>
          <t>JULIO CESAR DEAVILA MARTINEZ</t>
        </is>
      </c>
      <c r="P168" s="16" t="inlineStr">
        <is>
          <t>ELECTRICOS DEL VALLE SAS</t>
        </is>
      </c>
      <c r="Q168" s="16" t="inlineStr">
        <is>
          <t>PLANEADA</t>
        </is>
      </c>
      <c r="R168" s="16" t="inlineStr">
        <is>
          <t>TECHO</t>
        </is>
      </c>
      <c r="S168" s="16" t="inlineStr">
        <is>
          <t>EPE17577</t>
        </is>
      </c>
    </row>
    <row r="169">
      <c r="A169" s="30" t="n">
        <v>45889.71114583333</v>
      </c>
      <c r="B169" s="18" t="n">
        <v>261</v>
      </c>
      <c r="C169" s="18" t="n">
        <v>166</v>
      </c>
      <c r="D169" s="18" t="inlineStr">
        <is>
          <t>CERRADA</t>
        </is>
      </c>
      <c r="E169" s="18" t="inlineStr">
        <is>
          <t>CAUSADA</t>
        </is>
      </c>
      <c r="F169" s="18" t="inlineStr">
        <is>
          <t>Electricos</t>
        </is>
      </c>
      <c r="G169" s="18" t="inlineStr"/>
      <c r="H169" s="18" t="inlineStr">
        <is>
          <t>CINTA AISLANTE AZUL - UND</t>
        </is>
      </c>
      <c r="I169" s="31" t="n">
        <v>2</v>
      </c>
      <c r="J169" s="32" t="n">
        <v>5398.5</v>
      </c>
      <c r="K169" s="32" t="n">
        <v>10797</v>
      </c>
      <c r="L169" s="18" t="inlineStr">
        <is>
          <t>IVA 19%</t>
        </is>
      </c>
      <c r="M169" s="32" t="n">
        <v>2051</v>
      </c>
      <c r="N169" s="32" t="n">
        <v>12848</v>
      </c>
      <c r="O169" s="18" t="inlineStr">
        <is>
          <t>JULIO CESAR DEAVILA MARTINEZ</t>
        </is>
      </c>
      <c r="P169" s="18" t="inlineStr">
        <is>
          <t>ELECTRICOS DEL VALLE SAS</t>
        </is>
      </c>
      <c r="Q169" s="18" t="inlineStr">
        <is>
          <t>PLANEADA</t>
        </is>
      </c>
      <c r="R169" s="18" t="inlineStr">
        <is>
          <t>TECHO</t>
        </is>
      </c>
      <c r="S169" s="18" t="inlineStr">
        <is>
          <t>EPE17577</t>
        </is>
      </c>
    </row>
    <row r="170">
      <c r="A170" s="27" t="n">
        <v>45889.71114583333</v>
      </c>
      <c r="B170" s="16" t="n">
        <v>261</v>
      </c>
      <c r="C170" s="16" t="n">
        <v>166</v>
      </c>
      <c r="D170" s="16" t="inlineStr">
        <is>
          <t>CERRADA</t>
        </is>
      </c>
      <c r="E170" s="16" t="inlineStr">
        <is>
          <t>CAUSADA</t>
        </is>
      </c>
      <c r="F170" s="16" t="inlineStr">
        <is>
          <t>Electricos</t>
        </is>
      </c>
      <c r="G170" s="16" t="inlineStr"/>
      <c r="H170" s="16" t="inlineStr">
        <is>
          <t>CINTA ROJA PVC AISLANTE  X 20 MTS (T5 PLYMOUTH X 19 MM) 1907-1-N10-5230 - UND</t>
        </is>
      </c>
      <c r="I170" s="28" t="n">
        <v>2</v>
      </c>
      <c r="J170" s="29" t="n">
        <v>5428.5</v>
      </c>
      <c r="K170" s="29" t="n">
        <v>10857</v>
      </c>
      <c r="L170" s="16" t="inlineStr">
        <is>
          <t>IVA 19%</t>
        </is>
      </c>
      <c r="M170" s="29" t="n">
        <v>2062</v>
      </c>
      <c r="N170" s="29" t="n">
        <v>12919</v>
      </c>
      <c r="O170" s="16" t="inlineStr">
        <is>
          <t>JULIO CESAR DEAVILA MARTINEZ</t>
        </is>
      </c>
      <c r="P170" s="16" t="inlineStr">
        <is>
          <t>ELECTRICOS DEL VALLE SAS</t>
        </is>
      </c>
      <c r="Q170" s="16" t="inlineStr">
        <is>
          <t>PLANEADA</t>
        </is>
      </c>
      <c r="R170" s="16" t="inlineStr">
        <is>
          <t>TECHO</t>
        </is>
      </c>
      <c r="S170" s="16" t="inlineStr">
        <is>
          <t>EPE17577</t>
        </is>
      </c>
    </row>
    <row r="171">
      <c r="A171" s="30" t="n">
        <v>45889.71114583333</v>
      </c>
      <c r="B171" s="18" t="n">
        <v>261</v>
      </c>
      <c r="C171" s="18" t="n">
        <v>166</v>
      </c>
      <c r="D171" s="18" t="inlineStr">
        <is>
          <t>CERRADA</t>
        </is>
      </c>
      <c r="E171" s="18" t="inlineStr">
        <is>
          <t>CAUSADA</t>
        </is>
      </c>
      <c r="F171" s="18" t="inlineStr">
        <is>
          <t>Electricos</t>
        </is>
      </c>
      <c r="G171" s="18" t="inlineStr"/>
      <c r="H171" s="18" t="inlineStr">
        <is>
          <t>CINTA AMARILLA PVC AISLANTE  X 20 MTS (T5 PLYMOUTH X 19 MM) 1907-1-N10-5232 - UND</t>
        </is>
      </c>
      <c r="I171" s="31" t="n">
        <v>2</v>
      </c>
      <c r="J171" s="32" t="n">
        <v>5440</v>
      </c>
      <c r="K171" s="32" t="n">
        <v>10880</v>
      </c>
      <c r="L171" s="18" t="inlineStr">
        <is>
          <t>IVA 19%</t>
        </is>
      </c>
      <c r="M171" s="32" t="n">
        <v>2067</v>
      </c>
      <c r="N171" s="32" t="n">
        <v>12947</v>
      </c>
      <c r="O171" s="18" t="inlineStr">
        <is>
          <t>JULIO CESAR DEAVILA MARTINEZ</t>
        </is>
      </c>
      <c r="P171" s="18" t="inlineStr">
        <is>
          <t>ELECTRICOS DEL VALLE SAS</t>
        </is>
      </c>
      <c r="Q171" s="18" t="inlineStr">
        <is>
          <t>PLANEADA</t>
        </is>
      </c>
      <c r="R171" s="18" t="inlineStr">
        <is>
          <t>TECHO</t>
        </is>
      </c>
      <c r="S171" s="18" t="inlineStr">
        <is>
          <t>EPE17577</t>
        </is>
      </c>
    </row>
    <row r="172">
      <c r="A172" s="27" t="n">
        <v>45889.71114583333</v>
      </c>
      <c r="B172" s="16" t="n">
        <v>261</v>
      </c>
      <c r="C172" s="16" t="n">
        <v>166</v>
      </c>
      <c r="D172" s="16" t="inlineStr">
        <is>
          <t>CERRADA</t>
        </is>
      </c>
      <c r="E172" s="16" t="inlineStr">
        <is>
          <t>CAUSADA</t>
        </is>
      </c>
      <c r="F172" s="16" t="inlineStr">
        <is>
          <t>Electricos</t>
        </is>
      </c>
      <c r="G172" s="16" t="inlineStr"/>
      <c r="H172" s="16" t="inlineStr">
        <is>
          <t>CABLE CU 8 NEGRO THHN/THWN AISLA NYLON - UND</t>
        </is>
      </c>
      <c r="I172" s="28" t="n">
        <v>340</v>
      </c>
      <c r="J172" s="29" t="n">
        <v>5462.12</v>
      </c>
      <c r="K172" s="29" t="n">
        <v>1857120.8</v>
      </c>
      <c r="L172" s="16" t="inlineStr">
        <is>
          <t>IVA 19%</t>
        </is>
      </c>
      <c r="M172" s="29" t="n">
        <v>352852</v>
      </c>
      <c r="N172" s="29" t="n">
        <v>2209972.8</v>
      </c>
      <c r="O172" s="16" t="inlineStr">
        <is>
          <t>JULIO CESAR DEAVILA MARTINEZ</t>
        </is>
      </c>
      <c r="P172" s="16" t="inlineStr">
        <is>
          <t>ELECTRICOS DEL VALLE SAS</t>
        </is>
      </c>
      <c r="Q172" s="16" t="inlineStr">
        <is>
          <t>PLANEADA</t>
        </is>
      </c>
      <c r="R172" s="16" t="inlineStr">
        <is>
          <t>TECHO</t>
        </is>
      </c>
      <c r="S172" s="16" t="inlineStr">
        <is>
          <t>EPE17577</t>
        </is>
      </c>
    </row>
    <row r="173">
      <c r="A173" s="30" t="n">
        <v>45889.71114583333</v>
      </c>
      <c r="B173" s="18" t="n">
        <v>261</v>
      </c>
      <c r="C173" s="18" t="n">
        <v>166</v>
      </c>
      <c r="D173" s="18" t="inlineStr">
        <is>
          <t>CERRADA</t>
        </is>
      </c>
      <c r="E173" s="18" t="inlineStr">
        <is>
          <t>CAUSADA</t>
        </is>
      </c>
      <c r="F173" s="18" t="inlineStr">
        <is>
          <t>Electricos</t>
        </is>
      </c>
      <c r="G173" s="18" t="inlineStr"/>
      <c r="H173" s="18" t="inlineStr">
        <is>
          <t>CINTA BLANCA PVC AISLANTE  X 20 MTS (T5 PLYMOUTH X 19 MM) 1907-1-N10-5231 - UND</t>
        </is>
      </c>
      <c r="I173" s="31" t="n">
        <v>2</v>
      </c>
      <c r="J173" s="32" t="n">
        <v>5463.5</v>
      </c>
      <c r="K173" s="32" t="n">
        <v>10927</v>
      </c>
      <c r="L173" s="18" t="inlineStr">
        <is>
          <t>IVA 19%</t>
        </is>
      </c>
      <c r="M173" s="32" t="n">
        <v>2076</v>
      </c>
      <c r="N173" s="32" t="n">
        <v>13003</v>
      </c>
      <c r="O173" s="18" t="inlineStr">
        <is>
          <t>JULIO CESAR DEAVILA MARTINEZ</t>
        </is>
      </c>
      <c r="P173" s="18" t="inlineStr">
        <is>
          <t>ELECTRICOS DEL VALLE SAS</t>
        </is>
      </c>
      <c r="Q173" s="18" t="inlineStr">
        <is>
          <t>PLANEADA</t>
        </is>
      </c>
      <c r="R173" s="18" t="inlineStr">
        <is>
          <t>TECHO</t>
        </is>
      </c>
      <c r="S173" s="18" t="inlineStr">
        <is>
          <t>EPE17577</t>
        </is>
      </c>
    </row>
    <row r="174">
      <c r="A174" s="27" t="n">
        <v>45889.71114583333</v>
      </c>
      <c r="B174" s="16" t="n">
        <v>261</v>
      </c>
      <c r="C174" s="16" t="n">
        <v>166</v>
      </c>
      <c r="D174" s="16" t="inlineStr">
        <is>
          <t>CERRADA</t>
        </is>
      </c>
      <c r="E174" s="16" t="inlineStr">
        <is>
          <t>CAUSADA</t>
        </is>
      </c>
      <c r="F174" s="16" t="inlineStr">
        <is>
          <t>Electricos</t>
        </is>
      </c>
      <c r="G174" s="16" t="inlineStr"/>
      <c r="H174" s="16" t="inlineStr">
        <is>
          <t>CINTA ENMASCARAR  AMARILLA 1" X 40MTS  ( PAPEL CREPE CELLUX- 24 MM) - S/M 1805-180034 - UND</t>
        </is>
      </c>
      <c r="I174" s="28" t="n">
        <v>1</v>
      </c>
      <c r="J174" s="29" t="n">
        <v>5634</v>
      </c>
      <c r="K174" s="29" t="n">
        <v>5634</v>
      </c>
      <c r="L174" s="16" t="inlineStr">
        <is>
          <t>IVA 19%</t>
        </is>
      </c>
      <c r="M174" s="29" t="n">
        <v>1070</v>
      </c>
      <c r="N174" s="29" t="n">
        <v>6704</v>
      </c>
      <c r="O174" s="16" t="inlineStr">
        <is>
          <t>JULIO CESAR DEAVILA MARTINEZ</t>
        </is>
      </c>
      <c r="P174" s="16" t="inlineStr">
        <is>
          <t>ELECTRICOS DEL VALLE SAS</t>
        </is>
      </c>
      <c r="Q174" s="16" t="inlineStr">
        <is>
          <t>PLANEADA</t>
        </is>
      </c>
      <c r="R174" s="16" t="inlineStr">
        <is>
          <t>TECHO</t>
        </is>
      </c>
      <c r="S174" s="16" t="inlineStr">
        <is>
          <t>EPE17577</t>
        </is>
      </c>
    </row>
    <row r="175">
      <c r="A175" s="30" t="n">
        <v>45889.71114583333</v>
      </c>
      <c r="B175" s="18" t="n">
        <v>261</v>
      </c>
      <c r="C175" s="18" t="n">
        <v>166</v>
      </c>
      <c r="D175" s="18" t="inlineStr">
        <is>
          <t>CERRADA</t>
        </is>
      </c>
      <c r="E175" s="18" t="inlineStr">
        <is>
          <t>CAUSADA</t>
        </is>
      </c>
      <c r="F175" s="18" t="inlineStr">
        <is>
          <t>Electricos</t>
        </is>
      </c>
      <c r="G175" s="18" t="inlineStr"/>
      <c r="H175" s="18" t="inlineStr">
        <is>
          <t>TUBO 1/2" SCH 40 PVC 3MTS ULTRA TECNOSA - UND</t>
        </is>
      </c>
      <c r="I175" s="31" t="n">
        <v>13</v>
      </c>
      <c r="J175" s="32" t="n">
        <v>6145.38</v>
      </c>
      <c r="K175" s="32" t="n">
        <v>79889.94</v>
      </c>
      <c r="L175" s="18" t="inlineStr">
        <is>
          <t>IVA 19%</t>
        </is>
      </c>
      <c r="M175" s="32" t="n">
        <v>15179</v>
      </c>
      <c r="N175" s="32" t="n">
        <v>95068.94</v>
      </c>
      <c r="O175" s="18" t="inlineStr">
        <is>
          <t>JULIO CESAR DEAVILA MARTINEZ</t>
        </is>
      </c>
      <c r="P175" s="18" t="inlineStr">
        <is>
          <t>ELECTRICOS DEL VALLE SAS</t>
        </is>
      </c>
      <c r="Q175" s="18" t="inlineStr">
        <is>
          <t>PLANEADA</t>
        </is>
      </c>
      <c r="R175" s="18" t="inlineStr">
        <is>
          <t>TECHO</t>
        </is>
      </c>
      <c r="S175" s="18" t="inlineStr">
        <is>
          <t>EPE17577</t>
        </is>
      </c>
    </row>
    <row r="176">
      <c r="A176" s="27" t="n">
        <v>45889.71114583333</v>
      </c>
      <c r="B176" s="16" t="n">
        <v>261</v>
      </c>
      <c r="C176" s="16" t="n">
        <v>166</v>
      </c>
      <c r="D176" s="16" t="inlineStr">
        <is>
          <t>CERRADA</t>
        </is>
      </c>
      <c r="E176" s="16" t="inlineStr">
        <is>
          <t>CAUSADA</t>
        </is>
      </c>
      <c r="F176" s="16" t="inlineStr">
        <is>
          <t>Electricos</t>
        </is>
      </c>
      <c r="G176" s="16" t="inlineStr"/>
      <c r="H176" s="16" t="inlineStr">
        <is>
          <t>-</t>
        </is>
      </c>
      <c r="I176" s="28" t="n">
        <v>2</v>
      </c>
      <c r="J176" s="29" t="n">
        <v>6438.5</v>
      </c>
      <c r="K176" s="29" t="n">
        <v>12877</v>
      </c>
      <c r="L176" s="16" t="inlineStr">
        <is>
          <t>IVA 19%</t>
        </is>
      </c>
      <c r="M176" s="29" t="n">
        <v>2446</v>
      </c>
      <c r="N176" s="29" t="n">
        <v>15323</v>
      </c>
      <c r="O176" s="16" t="inlineStr">
        <is>
          <t>JULIO CESAR DEAVILA MARTINEZ</t>
        </is>
      </c>
      <c r="P176" s="16" t="inlineStr">
        <is>
          <t>ELECTRICOS DEL VALLE SAS</t>
        </is>
      </c>
      <c r="Q176" s="16" t="inlineStr">
        <is>
          <t>PLANEADA</t>
        </is>
      </c>
      <c r="R176" s="16" t="inlineStr">
        <is>
          <t>TECHO</t>
        </is>
      </c>
      <c r="S176" s="16" t="inlineStr">
        <is>
          <t>EPE17577</t>
        </is>
      </c>
    </row>
    <row r="177">
      <c r="A177" s="30" t="n">
        <v>45889.71114583333</v>
      </c>
      <c r="B177" s="18" t="n">
        <v>261</v>
      </c>
      <c r="C177" s="18" t="n">
        <v>166</v>
      </c>
      <c r="D177" s="18" t="inlineStr">
        <is>
          <t>CERRADA</t>
        </is>
      </c>
      <c r="E177" s="18" t="inlineStr">
        <is>
          <t>CAUSADA</t>
        </is>
      </c>
      <c r="F177" s="18" t="inlineStr">
        <is>
          <t>Electricos</t>
        </is>
      </c>
      <c r="G177" s="18" t="inlineStr"/>
      <c r="H177" s="18" t="inlineStr">
        <is>
          <t>CORAZA AMERICANA 1" - METRO</t>
        </is>
      </c>
      <c r="I177" s="31" t="n">
        <v>17</v>
      </c>
      <c r="J177" s="32" t="n">
        <v>7529.29</v>
      </c>
      <c r="K177" s="32" t="n">
        <v>127997.93</v>
      </c>
      <c r="L177" s="18" t="inlineStr">
        <is>
          <t>IVA 19%</t>
        </is>
      </c>
      <c r="M177" s="32" t="n">
        <v>24319</v>
      </c>
      <c r="N177" s="32" t="n">
        <v>152316.93</v>
      </c>
      <c r="O177" s="18" t="inlineStr">
        <is>
          <t>JULIO CESAR DEAVILA MARTINEZ</t>
        </is>
      </c>
      <c r="P177" s="18" t="inlineStr">
        <is>
          <t>ELECTRICOS DEL VALLE SAS</t>
        </is>
      </c>
      <c r="Q177" s="18" t="inlineStr">
        <is>
          <t>PLANEADA</t>
        </is>
      </c>
      <c r="R177" s="18" t="inlineStr">
        <is>
          <t>TECHO</t>
        </is>
      </c>
      <c r="S177" s="18" t="inlineStr">
        <is>
          <t>EPE17577</t>
        </is>
      </c>
    </row>
    <row r="178">
      <c r="A178" s="27" t="n">
        <v>45889.71114583333</v>
      </c>
      <c r="B178" s="16" t="n">
        <v>261</v>
      </c>
      <c r="C178" s="16" t="n">
        <v>166</v>
      </c>
      <c r="D178" s="16" t="inlineStr">
        <is>
          <t>CERRADA</t>
        </is>
      </c>
      <c r="E178" s="16" t="inlineStr">
        <is>
          <t>CAUSADA</t>
        </is>
      </c>
      <c r="F178" s="16" t="inlineStr">
        <is>
          <t>Electricos</t>
        </is>
      </c>
      <c r="G178" s="16" t="inlineStr"/>
      <c r="H178" s="16" t="inlineStr">
        <is>
          <t>CONECTOR MC4 EN JUEGO  - UND</t>
        </is>
      </c>
      <c r="I178" s="28" t="n">
        <v>30</v>
      </c>
      <c r="J178" s="29" t="n">
        <v>7580.83</v>
      </c>
      <c r="K178" s="29" t="n">
        <v>227424.9</v>
      </c>
      <c r="L178" s="16" t="inlineStr">
        <is>
          <t>IVA 19%</t>
        </is>
      </c>
      <c r="M178" s="29" t="n">
        <v>43210</v>
      </c>
      <c r="N178" s="29" t="n">
        <v>270634.9</v>
      </c>
      <c r="O178" s="16" t="inlineStr">
        <is>
          <t>JULIO CESAR DEAVILA MARTINEZ</t>
        </is>
      </c>
      <c r="P178" s="16" t="inlineStr">
        <is>
          <t>ELECTRICOS DEL VALLE SAS</t>
        </is>
      </c>
      <c r="Q178" s="16" t="inlineStr">
        <is>
          <t>PLANEADA</t>
        </is>
      </c>
      <c r="R178" s="16" t="inlineStr">
        <is>
          <t>TECHO</t>
        </is>
      </c>
      <c r="S178" s="16" t="inlineStr">
        <is>
          <t>EPE17577</t>
        </is>
      </c>
    </row>
    <row r="179">
      <c r="A179" s="30" t="n">
        <v>45889.71114583333</v>
      </c>
      <c r="B179" s="18" t="n">
        <v>261</v>
      </c>
      <c r="C179" s="18" t="n">
        <v>166</v>
      </c>
      <c r="D179" s="18" t="inlineStr">
        <is>
          <t>CERRADA</t>
        </is>
      </c>
      <c r="E179" s="18" t="inlineStr">
        <is>
          <t>CAUSADA</t>
        </is>
      </c>
      <c r="F179" s="18" t="inlineStr">
        <is>
          <t>Electricos</t>
        </is>
      </c>
      <c r="G179" s="18" t="inlineStr"/>
      <c r="H179" s="18" t="inlineStr">
        <is>
          <t>CAJA EMPALME PLASTICA 10X10X5CM IP55 DEXSON - UND</t>
        </is>
      </c>
      <c r="I179" s="31" t="n">
        <v>5</v>
      </c>
      <c r="J179" s="32" t="n">
        <v>7620.6</v>
      </c>
      <c r="K179" s="32" t="n">
        <v>38103</v>
      </c>
      <c r="L179" s="18" t="inlineStr">
        <is>
          <t>IVA 19%</t>
        </is>
      </c>
      <c r="M179" s="32" t="n">
        <v>7239</v>
      </c>
      <c r="N179" s="32" t="n">
        <v>45342</v>
      </c>
      <c r="O179" s="18" t="inlineStr">
        <is>
          <t>JULIO CESAR DEAVILA MARTINEZ</t>
        </is>
      </c>
      <c r="P179" s="18" t="inlineStr">
        <is>
          <t>ELECTRICOS DEL VALLE SAS</t>
        </is>
      </c>
      <c r="Q179" s="18" t="inlineStr">
        <is>
          <t>PLANEADA</t>
        </is>
      </c>
      <c r="R179" s="18" t="inlineStr">
        <is>
          <t>TECHO</t>
        </is>
      </c>
      <c r="S179" s="18" t="inlineStr">
        <is>
          <t>EPE17577</t>
        </is>
      </c>
    </row>
    <row r="180">
      <c r="A180" s="27" t="n">
        <v>45889.71114583333</v>
      </c>
      <c r="B180" s="16" t="n">
        <v>261</v>
      </c>
      <c r="C180" s="16" t="n">
        <v>166</v>
      </c>
      <c r="D180" s="16" t="inlineStr">
        <is>
          <t>CERRADA</t>
        </is>
      </c>
      <c r="E180" s="16" t="inlineStr">
        <is>
          <t>CAUSADA</t>
        </is>
      </c>
      <c r="F180" s="16" t="inlineStr">
        <is>
          <t>Electricos</t>
        </is>
      </c>
      <c r="G180" s="16" t="inlineStr"/>
      <c r="H180" s="16" t="inlineStr">
        <is>
          <t>CONDULETA LB ROSCADA  3/4" - UND</t>
        </is>
      </c>
      <c r="I180" s="28" t="n">
        <v>1</v>
      </c>
      <c r="J180" s="29" t="n">
        <v>7738</v>
      </c>
      <c r="K180" s="29" t="n">
        <v>7738</v>
      </c>
      <c r="L180" s="16" t="inlineStr">
        <is>
          <t>IVA 19%</t>
        </is>
      </c>
      <c r="M180" s="29" t="n">
        <v>1470</v>
      </c>
      <c r="N180" s="29" t="n">
        <v>9208</v>
      </c>
      <c r="O180" s="16" t="inlineStr">
        <is>
          <t>JULIO CESAR DEAVILA MARTINEZ</t>
        </is>
      </c>
      <c r="P180" s="16" t="inlineStr">
        <is>
          <t>ELECTRICOS DEL VALLE SAS</t>
        </is>
      </c>
      <c r="Q180" s="16" t="inlineStr">
        <is>
          <t>PLANEADA</t>
        </is>
      </c>
      <c r="R180" s="16" t="inlineStr">
        <is>
          <t>TECHO</t>
        </is>
      </c>
      <c r="S180" s="16" t="inlineStr">
        <is>
          <t>EPE17577</t>
        </is>
      </c>
    </row>
    <row r="181">
      <c r="A181" s="30" t="n">
        <v>45889.71114583333</v>
      </c>
      <c r="B181" s="18" t="n">
        <v>261</v>
      </c>
      <c r="C181" s="18" t="n">
        <v>166</v>
      </c>
      <c r="D181" s="18" t="inlineStr">
        <is>
          <t>CERRADA</t>
        </is>
      </c>
      <c r="E181" s="18" t="inlineStr">
        <is>
          <t>CAUSADA</t>
        </is>
      </c>
      <c r="F181" s="18" t="inlineStr">
        <is>
          <t>Electricos</t>
        </is>
      </c>
      <c r="G181" s="18" t="inlineStr"/>
      <c r="H181" s="18" t="inlineStr">
        <is>
          <t>CONDULETA LR ROSCADA  3/4" - UND</t>
        </is>
      </c>
      <c r="I181" s="31" t="n">
        <v>1</v>
      </c>
      <c r="J181" s="32" t="n">
        <v>8721</v>
      </c>
      <c r="K181" s="32" t="n">
        <v>8721</v>
      </c>
      <c r="L181" s="18" t="inlineStr">
        <is>
          <t>IVA 19%</t>
        </is>
      </c>
      <c r="M181" s="32" t="n">
        <v>1656</v>
      </c>
      <c r="N181" s="32" t="n">
        <v>10377</v>
      </c>
      <c r="O181" s="18" t="inlineStr">
        <is>
          <t>JULIO CESAR DEAVILA MARTINEZ</t>
        </is>
      </c>
      <c r="P181" s="18" t="inlineStr">
        <is>
          <t>ELECTRICOS DEL VALLE SAS</t>
        </is>
      </c>
      <c r="Q181" s="18" t="inlineStr">
        <is>
          <t>PLANEADA</t>
        </is>
      </c>
      <c r="R181" s="18" t="inlineStr">
        <is>
          <t>TECHO</t>
        </is>
      </c>
      <c r="S181" s="18" t="inlineStr">
        <is>
          <t>EPE17577</t>
        </is>
      </c>
    </row>
    <row r="182">
      <c r="A182" s="27" t="n">
        <v>45889.71114583333</v>
      </c>
      <c r="B182" s="16" t="n">
        <v>261</v>
      </c>
      <c r="C182" s="16" t="n">
        <v>166</v>
      </c>
      <c r="D182" s="16" t="inlineStr">
        <is>
          <t>CERRADA</t>
        </is>
      </c>
      <c r="E182" s="16" t="inlineStr">
        <is>
          <t>CAUSADA</t>
        </is>
      </c>
      <c r="F182" s="16" t="inlineStr">
        <is>
          <t>Electricos</t>
        </is>
      </c>
      <c r="G182" s="16" t="inlineStr"/>
      <c r="H182" s="16" t="inlineStr">
        <is>
          <t>CONDULETA T ROSCADA  3/4" - UND</t>
        </is>
      </c>
      <c r="I182" s="28" t="n">
        <v>3</v>
      </c>
      <c r="J182" s="29" t="n">
        <v>9165</v>
      </c>
      <c r="K182" s="29" t="n">
        <v>27495</v>
      </c>
      <c r="L182" s="16" t="inlineStr">
        <is>
          <t>IVA 19%</t>
        </is>
      </c>
      <c r="M182" s="29" t="n">
        <v>5224</v>
      </c>
      <c r="N182" s="29" t="n">
        <v>32719</v>
      </c>
      <c r="O182" s="16" t="inlineStr">
        <is>
          <t>JULIO CESAR DEAVILA MARTINEZ</t>
        </is>
      </c>
      <c r="P182" s="16" t="inlineStr">
        <is>
          <t>ELECTRICOS DEL VALLE SAS</t>
        </is>
      </c>
      <c r="Q182" s="16" t="inlineStr">
        <is>
          <t>PLANEADA</t>
        </is>
      </c>
      <c r="R182" s="16" t="inlineStr">
        <is>
          <t>TECHO</t>
        </is>
      </c>
      <c r="S182" s="16" t="inlineStr">
        <is>
          <t>EPE17577</t>
        </is>
      </c>
    </row>
    <row r="183">
      <c r="A183" s="30" t="n">
        <v>45889.71114583333</v>
      </c>
      <c r="B183" s="18" t="n">
        <v>261</v>
      </c>
      <c r="C183" s="18" t="n">
        <v>166</v>
      </c>
      <c r="D183" s="18" t="inlineStr">
        <is>
          <t>CERRADA</t>
        </is>
      </c>
      <c r="E183" s="18" t="inlineStr">
        <is>
          <t>CAUSADA</t>
        </is>
      </c>
      <c r="F183" s="18" t="inlineStr">
        <is>
          <t>Electricos</t>
        </is>
      </c>
      <c r="G183" s="18" t="inlineStr"/>
      <c r="H183" s="18" t="inlineStr">
        <is>
          <t>CABLE AL 4/0 AWG X METRO - UND</t>
        </is>
      </c>
      <c r="I183" s="31" t="n">
        <v>280</v>
      </c>
      <c r="J183" s="32" t="n">
        <v>9823.76</v>
      </c>
      <c r="K183" s="32" t="n">
        <v>2750652.8</v>
      </c>
      <c r="L183" s="18" t="inlineStr">
        <is>
          <t>IVA 19%</t>
        </is>
      </c>
      <c r="M183" s="32" t="n">
        <v>522624</v>
      </c>
      <c r="N183" s="32" t="n">
        <v>3273276.8</v>
      </c>
      <c r="O183" s="18" t="inlineStr">
        <is>
          <t>JULIO CESAR DEAVILA MARTINEZ</t>
        </is>
      </c>
      <c r="P183" s="18" t="inlineStr">
        <is>
          <t>ELECTRICOS DEL VALLE SAS</t>
        </is>
      </c>
      <c r="Q183" s="18" t="inlineStr">
        <is>
          <t>PLANEADA</t>
        </is>
      </c>
      <c r="R183" s="18" t="inlineStr">
        <is>
          <t>TECHO</t>
        </is>
      </c>
      <c r="S183" s="18" t="inlineStr">
        <is>
          <t>EPE17577</t>
        </is>
      </c>
    </row>
    <row r="184">
      <c r="A184" s="27" t="n">
        <v>45889.71114583333</v>
      </c>
      <c r="B184" s="16" t="n">
        <v>261</v>
      </c>
      <c r="C184" s="16" t="n">
        <v>166</v>
      </c>
      <c r="D184" s="16" t="inlineStr">
        <is>
          <t>CERRADA</t>
        </is>
      </c>
      <c r="E184" s="16" t="inlineStr">
        <is>
          <t>CAUSADA</t>
        </is>
      </c>
      <c r="F184" s="16" t="inlineStr">
        <is>
          <t>Electricos</t>
        </is>
      </c>
      <c r="G184" s="16" t="inlineStr"/>
      <c r="H184" s="16" t="inlineStr">
        <is>
          <t>TUBO 1/2" EMT 3MTS S/UNION - UND</t>
        </is>
      </c>
      <c r="I184" s="28" t="n">
        <v>10</v>
      </c>
      <c r="J184" s="29" t="n">
        <v>10598.3</v>
      </c>
      <c r="K184" s="29" t="n">
        <v>105983</v>
      </c>
      <c r="L184" s="16" t="inlineStr">
        <is>
          <t>IVA 19%</t>
        </is>
      </c>
      <c r="M184" s="29" t="n">
        <v>20136</v>
      </c>
      <c r="N184" s="29" t="n">
        <v>126119</v>
      </c>
      <c r="O184" s="16" t="inlineStr">
        <is>
          <t>JULIO CESAR DEAVILA MARTINEZ</t>
        </is>
      </c>
      <c r="P184" s="16" t="inlineStr">
        <is>
          <t>ELECTRICOS DEL VALLE SAS</t>
        </is>
      </c>
      <c r="Q184" s="16" t="inlineStr">
        <is>
          <t>PLANEADA</t>
        </is>
      </c>
      <c r="R184" s="16" t="inlineStr">
        <is>
          <t>TECHO</t>
        </is>
      </c>
      <c r="S184" s="16" t="inlineStr">
        <is>
          <t>EPE17577</t>
        </is>
      </c>
    </row>
    <row r="185">
      <c r="A185" s="30" t="n">
        <v>45889.71114583333</v>
      </c>
      <c r="B185" s="18" t="n">
        <v>261</v>
      </c>
      <c r="C185" s="18" t="n">
        <v>166</v>
      </c>
      <c r="D185" s="18" t="inlineStr">
        <is>
          <t>CERRADA</t>
        </is>
      </c>
      <c r="E185" s="18" t="inlineStr">
        <is>
          <t>CAUSADA</t>
        </is>
      </c>
      <c r="F185" s="18" t="inlineStr">
        <is>
          <t>Electricos</t>
        </is>
      </c>
      <c r="G185" s="18" t="inlineStr"/>
      <c r="H185" s="18" t="inlineStr">
        <is>
          <t>UNION 3" IMC - UND</t>
        </is>
      </c>
      <c r="I185" s="31" t="n">
        <v>4</v>
      </c>
      <c r="J185" s="32" t="n">
        <v>11770.25</v>
      </c>
      <c r="K185" s="32" t="n">
        <v>47081</v>
      </c>
      <c r="L185" s="18" t="inlineStr">
        <is>
          <t>IVA 19%</t>
        </is>
      </c>
      <c r="M185" s="32" t="n">
        <v>8945</v>
      </c>
      <c r="N185" s="32" t="n">
        <v>56026</v>
      </c>
      <c r="O185" s="18" t="inlineStr">
        <is>
          <t>JULIO CESAR DEAVILA MARTINEZ</t>
        </is>
      </c>
      <c r="P185" s="18" t="inlineStr">
        <is>
          <t>ELECTRICOS DEL VALLE SAS</t>
        </is>
      </c>
      <c r="Q185" s="18" t="inlineStr">
        <is>
          <t>PLANEADA</t>
        </is>
      </c>
      <c r="R185" s="18" t="inlineStr">
        <is>
          <t>TECHO</t>
        </is>
      </c>
      <c r="S185" s="18" t="inlineStr">
        <is>
          <t>EPE17577</t>
        </is>
      </c>
    </row>
    <row r="186">
      <c r="A186" s="27" t="n">
        <v>45889.71114583333</v>
      </c>
      <c r="B186" s="16" t="n">
        <v>261</v>
      </c>
      <c r="C186" s="16" t="n">
        <v>166</v>
      </c>
      <c r="D186" s="16" t="inlineStr">
        <is>
          <t>CERRADA</t>
        </is>
      </c>
      <c r="E186" s="16" t="inlineStr">
        <is>
          <t>CAUSADA</t>
        </is>
      </c>
      <c r="F186" s="16" t="inlineStr">
        <is>
          <t>Electricos</t>
        </is>
      </c>
      <c r="G186" s="16" t="inlineStr"/>
      <c r="H186" s="16" t="inlineStr">
        <is>
          <t>BORNA 4/0 TERMINAL BIMETALICA - CILES 1907-850327 - UND</t>
        </is>
      </c>
      <c r="I186" s="28" t="n">
        <v>10</v>
      </c>
      <c r="J186" s="29" t="n">
        <v>11807.4</v>
      </c>
      <c r="K186" s="29" t="n">
        <v>118074</v>
      </c>
      <c r="L186" s="16" t="inlineStr">
        <is>
          <t>IVA 19%</t>
        </is>
      </c>
      <c r="M186" s="29" t="n">
        <v>22434</v>
      </c>
      <c r="N186" s="29" t="n">
        <v>140508</v>
      </c>
      <c r="O186" s="16" t="inlineStr">
        <is>
          <t>JULIO CESAR DEAVILA MARTINEZ</t>
        </is>
      </c>
      <c r="P186" s="16" t="inlineStr">
        <is>
          <t>ELECTRICOS DEL VALLE SAS</t>
        </is>
      </c>
      <c r="Q186" s="16" t="inlineStr">
        <is>
          <t>PLANEADA</t>
        </is>
      </c>
      <c r="R186" s="16" t="inlineStr">
        <is>
          <t>TECHO</t>
        </is>
      </c>
      <c r="S186" s="16" t="inlineStr">
        <is>
          <t>EPE17577</t>
        </is>
      </c>
    </row>
    <row r="187">
      <c r="A187" s="30" t="n">
        <v>45889.71114583333</v>
      </c>
      <c r="B187" s="18" t="n">
        <v>261</v>
      </c>
      <c r="C187" s="18" t="n">
        <v>166</v>
      </c>
      <c r="D187" s="18" t="inlineStr">
        <is>
          <t>CERRADA</t>
        </is>
      </c>
      <c r="E187" s="18" t="inlineStr">
        <is>
          <t>CAUSADA</t>
        </is>
      </c>
      <c r="F187" s="18" t="inlineStr">
        <is>
          <t>Electricos</t>
        </is>
      </c>
      <c r="G187" s="18" t="inlineStr"/>
      <c r="H187" s="18" t="inlineStr">
        <is>
          <t>CABLE CU 4 AWG NEGRO THHN/THWN AISLA NYLON - UND</t>
        </is>
      </c>
      <c r="I187" s="31" t="n">
        <v>80</v>
      </c>
      <c r="J187" s="32" t="n">
        <v>13627.56</v>
      </c>
      <c r="K187" s="32" t="n">
        <v>1090204.8</v>
      </c>
      <c r="L187" s="18" t="inlineStr">
        <is>
          <t>IVA 19%</t>
        </is>
      </c>
      <c r="M187" s="32" t="n">
        <v>207138</v>
      </c>
      <c r="N187" s="32" t="n">
        <v>1297342.8</v>
      </c>
      <c r="O187" s="18" t="inlineStr">
        <is>
          <t>JULIO CESAR DEAVILA MARTINEZ</t>
        </is>
      </c>
      <c r="P187" s="18" t="inlineStr">
        <is>
          <t>ELECTRICOS DEL VALLE SAS</t>
        </is>
      </c>
      <c r="Q187" s="18" t="inlineStr">
        <is>
          <t>PLANEADA</t>
        </is>
      </c>
      <c r="R187" s="18" t="inlineStr">
        <is>
          <t>TECHO</t>
        </is>
      </c>
      <c r="S187" s="18" t="inlineStr">
        <is>
          <t>EPE17577</t>
        </is>
      </c>
    </row>
    <row r="188">
      <c r="A188" s="27" t="n">
        <v>45889.71114583333</v>
      </c>
      <c r="B188" s="16" t="n">
        <v>261</v>
      </c>
      <c r="C188" s="16" t="n">
        <v>166</v>
      </c>
      <c r="D188" s="16" t="inlineStr">
        <is>
          <t>CERRADA</t>
        </is>
      </c>
      <c r="E188" s="16" t="inlineStr">
        <is>
          <t>CAUSADA</t>
        </is>
      </c>
      <c r="F188" s="16" t="inlineStr">
        <is>
          <t>Electricos</t>
        </is>
      </c>
      <c r="G188" s="16" t="inlineStr"/>
      <c r="H188" s="16" t="inlineStr">
        <is>
          <t>AMARRAS 14" PLASTICAS 36CMS 4.8 50LB NEGRA E.V. 1401-TS1-1- 48360B - UND</t>
        </is>
      </c>
      <c r="I188" s="28" t="n">
        <v>7</v>
      </c>
      <c r="J188" s="29" t="n">
        <v>16135.28</v>
      </c>
      <c r="K188" s="29" t="n">
        <v>112946.96</v>
      </c>
      <c r="L188" s="16" t="inlineStr">
        <is>
          <t>IVA 19%</t>
        </is>
      </c>
      <c r="M188" s="29" t="n">
        <v>21459</v>
      </c>
      <c r="N188" s="29" t="n">
        <v>134405.96</v>
      </c>
      <c r="O188" s="16" t="inlineStr">
        <is>
          <t>JULIO CESAR DEAVILA MARTINEZ</t>
        </is>
      </c>
      <c r="P188" s="16" t="inlineStr">
        <is>
          <t>ELECTRICOS DEL VALLE SAS</t>
        </is>
      </c>
      <c r="Q188" s="16" t="inlineStr">
        <is>
          <t>PLANEADA</t>
        </is>
      </c>
      <c r="R188" s="16" t="inlineStr">
        <is>
          <t>TECHO</t>
        </is>
      </c>
      <c r="S188" s="16" t="inlineStr">
        <is>
          <t>EPE17577</t>
        </is>
      </c>
    </row>
    <row r="189">
      <c r="A189" s="30" t="n">
        <v>45889.71114583333</v>
      </c>
      <c r="B189" s="18" t="n">
        <v>261</v>
      </c>
      <c r="C189" s="18" t="n">
        <v>166</v>
      </c>
      <c r="D189" s="18" t="inlineStr">
        <is>
          <t>CERRADA</t>
        </is>
      </c>
      <c r="E189" s="18" t="inlineStr">
        <is>
          <t>CAUSADA</t>
        </is>
      </c>
      <c r="F189" s="18" t="inlineStr">
        <is>
          <t>Electricos</t>
        </is>
      </c>
      <c r="G189" s="18" t="inlineStr"/>
      <c r="H189" s="18" t="inlineStr">
        <is>
          <t>TUBO 1" IMC GALV 3MTS 1301-160693 - UND</t>
        </is>
      </c>
      <c r="I189" s="31" t="n">
        <v>28</v>
      </c>
      <c r="J189" s="32" t="n">
        <v>29012.82</v>
      </c>
      <c r="K189" s="32" t="n">
        <v>812358.96</v>
      </c>
      <c r="L189" s="18" t="inlineStr">
        <is>
          <t>IVA 19%</t>
        </is>
      </c>
      <c r="M189" s="32" t="n">
        <v>154348</v>
      </c>
      <c r="N189" s="32" t="n">
        <v>966706.96</v>
      </c>
      <c r="O189" s="18" t="inlineStr">
        <is>
          <t>JULIO CESAR DEAVILA MARTINEZ</t>
        </is>
      </c>
      <c r="P189" s="18" t="inlineStr">
        <is>
          <t>ELECTRICOS DEL VALLE SAS</t>
        </is>
      </c>
      <c r="Q189" s="18" t="inlineStr">
        <is>
          <t>PLANEADA</t>
        </is>
      </c>
      <c r="R189" s="18" t="inlineStr">
        <is>
          <t>TECHO</t>
        </is>
      </c>
      <c r="S189" s="18" t="inlineStr">
        <is>
          <t>EPE17577</t>
        </is>
      </c>
    </row>
    <row r="190">
      <c r="A190" s="27" t="n">
        <v>45889.71114583333</v>
      </c>
      <c r="B190" s="16" t="n">
        <v>261</v>
      </c>
      <c r="C190" s="16" t="n">
        <v>166</v>
      </c>
      <c r="D190" s="16" t="inlineStr">
        <is>
          <t>CERRADA</t>
        </is>
      </c>
      <c r="E190" s="16" t="inlineStr">
        <is>
          <t>CAUSADA</t>
        </is>
      </c>
      <c r="F190" s="16" t="inlineStr">
        <is>
          <t>Electricos</t>
        </is>
      </c>
      <c r="G190" s="16" t="inlineStr"/>
      <c r="H190" s="16" t="inlineStr">
        <is>
          <t>CONECTOR RECTO DE CORAZA  3" - UND</t>
        </is>
      </c>
      <c r="I190" s="28" t="n">
        <v>4</v>
      </c>
      <c r="J190" s="29" t="n">
        <v>30717.75</v>
      </c>
      <c r="K190" s="29" t="n">
        <v>122871</v>
      </c>
      <c r="L190" s="16" t="inlineStr">
        <is>
          <t>IVA 19%</t>
        </is>
      </c>
      <c r="M190" s="29" t="n">
        <v>23345</v>
      </c>
      <c r="N190" s="29" t="n">
        <v>146216</v>
      </c>
      <c r="O190" s="16" t="inlineStr">
        <is>
          <t>JULIO CESAR DEAVILA MARTINEZ</t>
        </is>
      </c>
      <c r="P190" s="16" t="inlineStr">
        <is>
          <t>ELECTRICOS DEL VALLE SAS</t>
        </is>
      </c>
      <c r="Q190" s="16" t="inlineStr">
        <is>
          <t>PLANEADA</t>
        </is>
      </c>
      <c r="R190" s="16" t="inlineStr">
        <is>
          <t>TECHO</t>
        </is>
      </c>
      <c r="S190" s="16" t="inlineStr">
        <is>
          <t>EPE17577</t>
        </is>
      </c>
    </row>
    <row r="191">
      <c r="A191" s="30" t="n">
        <v>45889.71114583333</v>
      </c>
      <c r="B191" s="18" t="n">
        <v>261</v>
      </c>
      <c r="C191" s="18" t="n">
        <v>166</v>
      </c>
      <c r="D191" s="18" t="inlineStr">
        <is>
          <t>CERRADA</t>
        </is>
      </c>
      <c r="E191" s="18" t="inlineStr">
        <is>
          <t>CAUSADA</t>
        </is>
      </c>
      <c r="F191" s="18" t="inlineStr">
        <is>
          <t>Electricos</t>
        </is>
      </c>
      <c r="G191" s="18" t="inlineStr"/>
      <c r="H191" s="18" t="inlineStr">
        <is>
          <t>SOLDADURA 1/4 GL / 946 CM3 / CONDUIT 12 TUBOSA 1302-1000001756 - UND</t>
        </is>
      </c>
      <c r="I191" s="31" t="n">
        <v>1</v>
      </c>
      <c r="J191" s="32" t="n">
        <v>39119</v>
      </c>
      <c r="K191" s="32" t="n">
        <v>39119</v>
      </c>
      <c r="L191" s="18" t="inlineStr">
        <is>
          <t>IVA 19%</t>
        </is>
      </c>
      <c r="M191" s="32" t="n">
        <v>7432</v>
      </c>
      <c r="N191" s="32" t="n">
        <v>46551</v>
      </c>
      <c r="O191" s="18" t="inlineStr">
        <is>
          <t>JULIO CESAR DEAVILA MARTINEZ</t>
        </is>
      </c>
      <c r="P191" s="18" t="inlineStr">
        <is>
          <t>ELECTRICOS DEL VALLE SAS</t>
        </is>
      </c>
      <c r="Q191" s="18" t="inlineStr">
        <is>
          <t>PLANEADA</t>
        </is>
      </c>
      <c r="R191" s="18" t="inlineStr">
        <is>
          <t>TECHO</t>
        </is>
      </c>
      <c r="S191" s="18" t="inlineStr">
        <is>
          <t>EPE17577</t>
        </is>
      </c>
    </row>
    <row r="192">
      <c r="A192" s="27" t="n">
        <v>45889.71114583333</v>
      </c>
      <c r="B192" s="16" t="n">
        <v>261</v>
      </c>
      <c r="C192" s="16" t="n">
        <v>166</v>
      </c>
      <c r="D192" s="16" t="inlineStr">
        <is>
          <t>CERRADA</t>
        </is>
      </c>
      <c r="E192" s="16" t="inlineStr">
        <is>
          <t>CAUSADA</t>
        </is>
      </c>
      <c r="F192" s="16" t="inlineStr">
        <is>
          <t>Electricos</t>
        </is>
      </c>
      <c r="G192" s="16" t="inlineStr"/>
      <c r="H192" s="16" t="inlineStr">
        <is>
          <t>CINTA AUTOFUNDENTE (W963 PLYMOUTH) 1907-2117 - UND</t>
        </is>
      </c>
      <c r="I192" s="28" t="n">
        <v>2</v>
      </c>
      <c r="J192" s="29" t="n">
        <v>41696.5</v>
      </c>
      <c r="K192" s="29" t="n">
        <v>83393</v>
      </c>
      <c r="L192" s="16" t="inlineStr">
        <is>
          <t>IVA 19%</t>
        </is>
      </c>
      <c r="M192" s="29" t="n">
        <v>15844</v>
      </c>
      <c r="N192" s="29" t="n">
        <v>99237</v>
      </c>
      <c r="O192" s="16" t="inlineStr">
        <is>
          <t>JULIO CESAR DEAVILA MARTINEZ</t>
        </is>
      </c>
      <c r="P192" s="16" t="inlineStr">
        <is>
          <t>ELECTRICOS DEL VALLE SAS</t>
        </is>
      </c>
      <c r="Q192" s="16" t="inlineStr">
        <is>
          <t>PLANEADA</t>
        </is>
      </c>
      <c r="R192" s="16" t="inlineStr">
        <is>
          <t>TECHO</t>
        </is>
      </c>
      <c r="S192" s="16" t="inlineStr">
        <is>
          <t>EPE17577</t>
        </is>
      </c>
    </row>
    <row r="193">
      <c r="A193" s="30" t="n">
        <v>45889.71114583333</v>
      </c>
      <c r="B193" s="18" t="n">
        <v>261</v>
      </c>
      <c r="C193" s="18" t="n">
        <v>166</v>
      </c>
      <c r="D193" s="18" t="inlineStr">
        <is>
          <t>CERRADA</t>
        </is>
      </c>
      <c r="E193" s="18" t="inlineStr">
        <is>
          <t>CAUSADA</t>
        </is>
      </c>
      <c r="F193" s="18" t="inlineStr">
        <is>
          <t>Electricos</t>
        </is>
      </c>
      <c r="G193" s="18" t="inlineStr"/>
      <c r="H193" s="18" t="inlineStr">
        <is>
          <t>TUBO 3/4" IMC GALV 3MTS 1302-160661 - UND</t>
        </is>
      </c>
      <c r="I193" s="31" t="n">
        <v>41</v>
      </c>
      <c r="J193" s="32" t="n">
        <v>49708.12</v>
      </c>
      <c r="K193" s="32" t="n">
        <v>2038032.92</v>
      </c>
      <c r="L193" s="18" t="inlineStr">
        <is>
          <t>IVA 19%</t>
        </is>
      </c>
      <c r="M193" s="32" t="n">
        <v>387226</v>
      </c>
      <c r="N193" s="32" t="n">
        <v>2425258.92</v>
      </c>
      <c r="O193" s="18" t="inlineStr">
        <is>
          <t>JULIO CESAR DEAVILA MARTINEZ</t>
        </is>
      </c>
      <c r="P193" s="18" t="inlineStr">
        <is>
          <t>ELECTRICOS DEL VALLE SAS</t>
        </is>
      </c>
      <c r="Q193" s="18" t="inlineStr">
        <is>
          <t>PLANEADA</t>
        </is>
      </c>
      <c r="R193" s="18" t="inlineStr">
        <is>
          <t>TECHO</t>
        </is>
      </c>
      <c r="S193" s="18" t="inlineStr">
        <is>
          <t>EPE17577</t>
        </is>
      </c>
    </row>
    <row r="194">
      <c r="A194" s="27" t="n">
        <v>45889.71114583333</v>
      </c>
      <c r="B194" s="16" t="n">
        <v>261</v>
      </c>
      <c r="C194" s="16" t="n">
        <v>166</v>
      </c>
      <c r="D194" s="16" t="inlineStr">
        <is>
          <t>CERRADA</t>
        </is>
      </c>
      <c r="E194" s="16" t="inlineStr">
        <is>
          <t>CAUSADA</t>
        </is>
      </c>
      <c r="F194" s="16" t="inlineStr">
        <is>
          <t>Electricos</t>
        </is>
      </c>
      <c r="G194" s="16" t="inlineStr"/>
      <c r="H194" s="16" t="inlineStr">
        <is>
          <t>CABLE CENTELFLEX CU 105° 2/0AWG  (67MM2)1kV 27-201683 - UND</t>
        </is>
      </c>
      <c r="I194" s="28" t="n">
        <v>25</v>
      </c>
      <c r="J194" s="29" t="n">
        <v>58723.68</v>
      </c>
      <c r="K194" s="29" t="n">
        <v>1468092</v>
      </c>
      <c r="L194" s="16" t="inlineStr">
        <is>
          <t>IVA 19%</t>
        </is>
      </c>
      <c r="M194" s="29" t="n">
        <v>278937</v>
      </c>
      <c r="N194" s="29" t="n">
        <v>1747029</v>
      </c>
      <c r="O194" s="16" t="inlineStr">
        <is>
          <t>JULIO CESAR DEAVILA MARTINEZ</t>
        </is>
      </c>
      <c r="P194" s="16" t="inlineStr">
        <is>
          <t>ELECTRICOS DEL VALLE SAS</t>
        </is>
      </c>
      <c r="Q194" s="16" t="inlineStr">
        <is>
          <t>PLANEADA</t>
        </is>
      </c>
      <c r="R194" s="16" t="inlineStr">
        <is>
          <t>TECHO</t>
        </is>
      </c>
      <c r="S194" s="16" t="inlineStr">
        <is>
          <t>EPE17577</t>
        </is>
      </c>
    </row>
    <row r="195">
      <c r="A195" s="30" t="n">
        <v>45889.71114583333</v>
      </c>
      <c r="B195" s="18" t="n">
        <v>261</v>
      </c>
      <c r="C195" s="18" t="n">
        <v>166</v>
      </c>
      <c r="D195" s="18" t="inlineStr">
        <is>
          <t>CERRADA</t>
        </is>
      </c>
      <c r="E195" s="18" t="inlineStr">
        <is>
          <t>CAUSADA</t>
        </is>
      </c>
      <c r="F195" s="18" t="inlineStr">
        <is>
          <t>Electricos</t>
        </is>
      </c>
      <c r="G195" s="18" t="inlineStr"/>
      <c r="H195" s="18" t="inlineStr">
        <is>
          <t>CANAL ESTRUCTURADO 4X2 RANURADO 2.40M CALIBRE 14 G/C -SM 1402-CLE757 - UND</t>
        </is>
      </c>
      <c r="I195" s="31" t="n">
        <v>4</v>
      </c>
      <c r="J195" s="32" t="n">
        <v>59826.5</v>
      </c>
      <c r="K195" s="32" t="n">
        <v>239306</v>
      </c>
      <c r="L195" s="18" t="inlineStr">
        <is>
          <t>IVA 19%</t>
        </is>
      </c>
      <c r="M195" s="32" t="n">
        <v>45468</v>
      </c>
      <c r="N195" s="32" t="n">
        <v>284774</v>
      </c>
      <c r="O195" s="18" t="inlineStr">
        <is>
          <t>JULIO CESAR DEAVILA MARTINEZ</t>
        </is>
      </c>
      <c r="P195" s="18" t="inlineStr">
        <is>
          <t>ELECTRICOS DEL VALLE SAS</t>
        </is>
      </c>
      <c r="Q195" s="18" t="inlineStr">
        <is>
          <t>PLANEADA</t>
        </is>
      </c>
      <c r="R195" s="18" t="inlineStr">
        <is>
          <t>TECHO</t>
        </is>
      </c>
      <c r="S195" s="18" t="inlineStr">
        <is>
          <t>EPE17577</t>
        </is>
      </c>
    </row>
    <row r="196">
      <c r="A196" s="27" t="n">
        <v>45889.71114583333</v>
      </c>
      <c r="B196" s="16" t="n">
        <v>261</v>
      </c>
      <c r="C196" s="16" t="n">
        <v>166</v>
      </c>
      <c r="D196" s="16" t="inlineStr">
        <is>
          <t>CERRADA</t>
        </is>
      </c>
      <c r="E196" s="16" t="inlineStr">
        <is>
          <t>CAUSADA</t>
        </is>
      </c>
      <c r="F196" s="16" t="inlineStr">
        <is>
          <t>Electricos</t>
        </is>
      </c>
      <c r="G196" s="16" t="inlineStr"/>
      <c r="H196" s="16" t="inlineStr">
        <is>
          <t>BANDEJA MALLA 10X6X3.00CM BLACK RAPIDE REJIBAND 8 - UND</t>
        </is>
      </c>
      <c r="I196" s="28" t="n">
        <v>13</v>
      </c>
      <c r="J196" s="29" t="n">
        <v>60522.61</v>
      </c>
      <c r="K196" s="29" t="n">
        <v>786793.9300000001</v>
      </c>
      <c r="L196" s="16" t="inlineStr">
        <is>
          <t>IVA 19%</t>
        </is>
      </c>
      <c r="M196" s="29" t="n">
        <v>149490</v>
      </c>
      <c r="N196" s="29" t="n">
        <v>936283.9300000001</v>
      </c>
      <c r="O196" s="16" t="inlineStr">
        <is>
          <t>JULIO CESAR DEAVILA MARTINEZ</t>
        </is>
      </c>
      <c r="P196" s="16" t="inlineStr">
        <is>
          <t>ELECTRICOS DEL VALLE SAS</t>
        </is>
      </c>
      <c r="Q196" s="16" t="inlineStr">
        <is>
          <t>PLANEADA</t>
        </is>
      </c>
      <c r="R196" s="16" t="inlineStr">
        <is>
          <t>TECHO</t>
        </is>
      </c>
      <c r="S196" s="16" t="inlineStr">
        <is>
          <t>EPE17577</t>
        </is>
      </c>
    </row>
    <row r="197">
      <c r="A197" s="30" t="n">
        <v>45889.71114583333</v>
      </c>
      <c r="B197" s="18" t="n">
        <v>261</v>
      </c>
      <c r="C197" s="18" t="n">
        <v>166</v>
      </c>
      <c r="D197" s="18" t="inlineStr">
        <is>
          <t>CERRADA</t>
        </is>
      </c>
      <c r="E197" s="18" t="inlineStr">
        <is>
          <t>CAUSADA</t>
        </is>
      </c>
      <c r="F197" s="18" t="inlineStr">
        <is>
          <t>Electricos</t>
        </is>
      </c>
      <c r="G197" s="18" t="inlineStr"/>
      <c r="H197" s="18" t="inlineStr">
        <is>
          <t>BANDEJA PORTACABLE 10X8X240CM  GALVANIZADA - GALCO - UND</t>
        </is>
      </c>
      <c r="I197" s="31" t="n">
        <v>10</v>
      </c>
      <c r="J197" s="32" t="n">
        <v>106251.8</v>
      </c>
      <c r="K197" s="32" t="n">
        <v>1062518</v>
      </c>
      <c r="L197" s="18" t="inlineStr">
        <is>
          <t>IVA 19%</t>
        </is>
      </c>
      <c r="M197" s="32" t="n">
        <v>201878</v>
      </c>
      <c r="N197" s="32" t="n">
        <v>1264396</v>
      </c>
      <c r="O197" s="18" t="inlineStr">
        <is>
          <t>JULIO CESAR DEAVILA MARTINEZ</t>
        </is>
      </c>
      <c r="P197" s="18" t="inlineStr">
        <is>
          <t>ELECTRICOS DEL VALLE SAS</t>
        </is>
      </c>
      <c r="Q197" s="18" t="inlineStr">
        <is>
          <t>PLANEADA</t>
        </is>
      </c>
      <c r="R197" s="18" t="inlineStr">
        <is>
          <t>TECHO</t>
        </is>
      </c>
      <c r="S197" s="18" t="inlineStr">
        <is>
          <t>EPE17577</t>
        </is>
      </c>
    </row>
    <row r="198">
      <c r="A198" s="27" t="n">
        <v>45889.71114583333</v>
      </c>
      <c r="B198" s="16" t="n">
        <v>261</v>
      </c>
      <c r="C198" s="16" t="n">
        <v>166</v>
      </c>
      <c r="D198" s="16" t="inlineStr">
        <is>
          <t>CERRADA</t>
        </is>
      </c>
      <c r="E198" s="16" t="inlineStr">
        <is>
          <t>CAUSADA</t>
        </is>
      </c>
      <c r="F198" s="16" t="inlineStr">
        <is>
          <t>Electricos</t>
        </is>
      </c>
      <c r="G198" s="16" t="inlineStr"/>
      <c r="H198" s="16" t="inlineStr">
        <is>
          <t>TUBO 3" IMC GALV 3MTS5 1301-124599 - UND</t>
        </is>
      </c>
      <c r="I198" s="28" t="n">
        <v>6</v>
      </c>
      <c r="J198" s="29" t="n">
        <v>336915.66</v>
      </c>
      <c r="K198" s="29" t="n">
        <v>2021493.96</v>
      </c>
      <c r="L198" s="16" t="inlineStr">
        <is>
          <t>IVA 19%</t>
        </is>
      </c>
      <c r="M198" s="29" t="n">
        <v>384083</v>
      </c>
      <c r="N198" s="29" t="n">
        <v>2405576.96</v>
      </c>
      <c r="O198" s="16" t="inlineStr">
        <is>
          <t>JULIO CESAR DEAVILA MARTINEZ</t>
        </is>
      </c>
      <c r="P198" s="16" t="inlineStr">
        <is>
          <t>ELECTRICOS DEL VALLE SAS</t>
        </is>
      </c>
      <c r="Q198" s="16" t="inlineStr">
        <is>
          <t>PLANEADA</t>
        </is>
      </c>
      <c r="R198" s="16" t="inlineStr">
        <is>
          <t>TECHO</t>
        </is>
      </c>
      <c r="S198" s="16" t="inlineStr">
        <is>
          <t>EPE17577</t>
        </is>
      </c>
    </row>
    <row r="199">
      <c r="A199" s="30" t="n">
        <v>45889.71114583333</v>
      </c>
      <c r="B199" s="18" t="n">
        <v>261</v>
      </c>
      <c r="C199" s="18" t="n">
        <v>166</v>
      </c>
      <c r="D199" s="18" t="inlineStr">
        <is>
          <t>CERRADA</t>
        </is>
      </c>
      <c r="E199" s="18" t="inlineStr">
        <is>
          <t>CAUSADA</t>
        </is>
      </c>
      <c r="F199" s="18" t="inlineStr">
        <is>
          <t>Electricos</t>
        </is>
      </c>
      <c r="G199" s="18" t="inlineStr"/>
      <c r="H199" s="18" t="inlineStr">
        <is>
          <t>CONJUNTO DE BORNERAS TRIFÁSICO PARA CTS SERIE 2007-+ TIERRA TOTAL CORTO COMÚN CONEXIÓN PUSH IN -  WAGO - UND</t>
        </is>
      </c>
      <c r="I199" s="31" t="n">
        <v>1</v>
      </c>
      <c r="J199" s="32" t="n">
        <v>384420</v>
      </c>
      <c r="K199" s="32" t="n">
        <v>384420</v>
      </c>
      <c r="L199" s="18" t="inlineStr">
        <is>
          <t>IVA 19%</t>
        </is>
      </c>
      <c r="M199" s="32" t="n">
        <v>73039</v>
      </c>
      <c r="N199" s="32" t="n">
        <v>457459</v>
      </c>
      <c r="O199" s="18" t="inlineStr">
        <is>
          <t>JULIO CESAR DEAVILA MARTINEZ</t>
        </is>
      </c>
      <c r="P199" s="18" t="inlineStr">
        <is>
          <t>ELECTRICOS DEL VALLE SAS</t>
        </is>
      </c>
      <c r="Q199" s="18" t="inlineStr">
        <is>
          <t>PLANEADA</t>
        </is>
      </c>
      <c r="R199" s="18" t="inlineStr">
        <is>
          <t>TECHO</t>
        </is>
      </c>
      <c r="S199" s="18" t="inlineStr">
        <is>
          <t>EPE17577</t>
        </is>
      </c>
    </row>
    <row r="200">
      <c r="A200" s="27" t="n">
        <v>45889.44335648148</v>
      </c>
      <c r="B200" s="16" t="n">
        <v>256</v>
      </c>
      <c r="C200" s="16" t="n">
        <v>198</v>
      </c>
      <c r="D200" s="16" t="inlineStr">
        <is>
          <t>CERRADA</t>
        </is>
      </c>
      <c r="E200" s="16" t="inlineStr">
        <is>
          <t>PAGADA</t>
        </is>
      </c>
      <c r="F200" s="16" t="inlineStr">
        <is>
          <t>Electricos</t>
        </is>
      </c>
      <c r="G200" s="16" t="inlineStr"/>
      <c r="H200" s="16" t="inlineStr">
        <is>
          <t>GABINETE DE COMUNICACION TIPO RACK - MEDIDAS 60 x 55 x 35 cm - UND</t>
        </is>
      </c>
      <c r="I200" s="28" t="n">
        <v>1</v>
      </c>
      <c r="J200" s="29" t="n">
        <v>581305</v>
      </c>
      <c r="K200" s="29" t="n">
        <v>581305</v>
      </c>
      <c r="L200" s="16" t="inlineStr">
        <is>
          <t>IVA 19%</t>
        </is>
      </c>
      <c r="M200" s="29" t="n">
        <v>110448</v>
      </c>
      <c r="N200" s="29" t="n">
        <v>691753</v>
      </c>
      <c r="O200" s="16" t="inlineStr">
        <is>
          <t>JULIO CESAR DEAVILA MARTINEZ</t>
        </is>
      </c>
      <c r="P200" s="16" t="inlineStr">
        <is>
          <t>INDUSTRIAS REBRA SAS</t>
        </is>
      </c>
      <c r="Q200" s="16" t="inlineStr">
        <is>
          <t>EMERGENCIA</t>
        </is>
      </c>
      <c r="R200" s="16" t="inlineStr">
        <is>
          <t>TECHO</t>
        </is>
      </c>
      <c r="S200" s="16" t="inlineStr">
        <is>
          <t>COTIZACION 38895</t>
        </is>
      </c>
    </row>
    <row r="201">
      <c r="A201" s="30" t="n">
        <v>45882.46462962963</v>
      </c>
      <c r="B201" s="18" t="n">
        <v>215</v>
      </c>
      <c r="C201" s="18" t="n">
        <v>154</v>
      </c>
      <c r="D201" s="18" t="inlineStr">
        <is>
          <t>CERRADA</t>
        </is>
      </c>
      <c r="E201" s="18" t="inlineStr">
        <is>
          <t>PAGADA</t>
        </is>
      </c>
      <c r="F201" s="18" t="inlineStr">
        <is>
          <t>Inversores Solares</t>
        </is>
      </c>
      <c r="G201" s="18" t="inlineStr"/>
      <c r="H201" s="18" t="inlineStr">
        <is>
          <t>SDONGLE A -05 WLAN - UND</t>
        </is>
      </c>
      <c r="I201" s="31" t="n">
        <v>1</v>
      </c>
      <c r="J201" s="32" t="n">
        <v>205000</v>
      </c>
      <c r="K201" s="32" t="n">
        <v>205000</v>
      </c>
      <c r="L201" s="18" t="inlineStr">
        <is>
          <t>IVA 19%</t>
        </is>
      </c>
      <c r="M201" s="32" t="n">
        <v>38950</v>
      </c>
      <c r="N201" s="32" t="n">
        <v>243950</v>
      </c>
      <c r="O201" s="18" t="inlineStr">
        <is>
          <t>JULIO CESAR DEAVILA MARTINEZ</t>
        </is>
      </c>
      <c r="P201" s="18" t="inlineStr">
        <is>
          <t>GRUPO SOLAIRE SAS</t>
        </is>
      </c>
      <c r="Q201" s="18" t="inlineStr">
        <is>
          <t>PLANEADA</t>
        </is>
      </c>
      <c r="R201" s="18" t="inlineStr">
        <is>
          <t>TECHO</t>
        </is>
      </c>
      <c r="S201" s="18" t="inlineStr">
        <is>
          <t>FEL24122</t>
        </is>
      </c>
    </row>
    <row r="202">
      <c r="A202" s="27" t="n">
        <v>45882.46462962963</v>
      </c>
      <c r="B202" s="16" t="n">
        <v>215</v>
      </c>
      <c r="C202" s="16" t="n">
        <v>154</v>
      </c>
      <c r="D202" s="16" t="inlineStr">
        <is>
          <t>CERRADA</t>
        </is>
      </c>
      <c r="E202" s="16" t="inlineStr">
        <is>
          <t>PAGADA</t>
        </is>
      </c>
      <c r="F202" s="16" t="inlineStr">
        <is>
          <t>Inversores Solares</t>
        </is>
      </c>
      <c r="G202" s="16" t="inlineStr"/>
      <c r="H202" s="16" t="inlineStr">
        <is>
          <t>HUAWEI SMARTPS-80AI-T0 SMART POWER SENSOR - UND</t>
        </is>
      </c>
      <c r="I202" s="28" t="n">
        <v>1</v>
      </c>
      <c r="J202" s="29" t="n">
        <v>370000</v>
      </c>
      <c r="K202" s="29" t="n">
        <v>370000</v>
      </c>
      <c r="L202" s="16" t="inlineStr">
        <is>
          <t>IVA 19%</t>
        </is>
      </c>
      <c r="M202" s="29" t="n">
        <v>70300</v>
      </c>
      <c r="N202" s="29" t="n">
        <v>440300</v>
      </c>
      <c r="O202" s="16" t="inlineStr">
        <is>
          <t>JULIO CESAR DEAVILA MARTINEZ</t>
        </is>
      </c>
      <c r="P202" s="16" t="inlineStr">
        <is>
          <t>GRUPO SOLAIRE SAS</t>
        </is>
      </c>
      <c r="Q202" s="16" t="inlineStr">
        <is>
          <t>PLANEADA</t>
        </is>
      </c>
      <c r="R202" s="16" t="inlineStr">
        <is>
          <t>TECHO</t>
        </is>
      </c>
      <c r="S202" s="16" t="inlineStr">
        <is>
          <t>FEL24122</t>
        </is>
      </c>
    </row>
    <row r="203">
      <c r="A203" s="30" t="n">
        <v>45882.46462962963</v>
      </c>
      <c r="B203" s="18" t="n">
        <v>215</v>
      </c>
      <c r="C203" s="18" t="n">
        <v>154</v>
      </c>
      <c r="D203" s="18" t="inlineStr">
        <is>
          <t>CERRADA</t>
        </is>
      </c>
      <c r="E203" s="18" t="inlineStr">
        <is>
          <t>PAGADA</t>
        </is>
      </c>
      <c r="F203" s="18" t="inlineStr">
        <is>
          <t>Inversores Solares</t>
        </is>
      </c>
      <c r="G203" s="18" t="inlineStr"/>
      <c r="H203" s="18" t="inlineStr">
        <is>
          <t>TRANSFORMADOR DE CORRIENTE TC: ACCUENERGY ACUCT-200R-800:1A - UND</t>
        </is>
      </c>
      <c r="I203" s="31" t="n">
        <v>3</v>
      </c>
      <c r="J203" s="32" t="n">
        <v>575000</v>
      </c>
      <c r="K203" s="32" t="n">
        <v>1725000</v>
      </c>
      <c r="L203" s="18" t="inlineStr">
        <is>
          <t>IVA 19%</t>
        </is>
      </c>
      <c r="M203" s="32" t="n">
        <v>327750</v>
      </c>
      <c r="N203" s="32" t="n">
        <v>2052750</v>
      </c>
      <c r="O203" s="18" t="inlineStr">
        <is>
          <t>JULIO CESAR DEAVILA MARTINEZ</t>
        </is>
      </c>
      <c r="P203" s="18" t="inlineStr">
        <is>
          <t>GRUPO SOLAIRE SAS</t>
        </is>
      </c>
      <c r="Q203" s="18" t="inlineStr">
        <is>
          <t>PLANEADA</t>
        </is>
      </c>
      <c r="R203" s="18" t="inlineStr">
        <is>
          <t>TECHO</t>
        </is>
      </c>
      <c r="S203" s="18" t="inlineStr">
        <is>
          <t>FEL24122</t>
        </is>
      </c>
    </row>
    <row r="204">
      <c r="A204" s="27" t="n">
        <v>45882.46462962963</v>
      </c>
      <c r="B204" s="16" t="n">
        <v>215</v>
      </c>
      <c r="C204" s="16" t="n">
        <v>154</v>
      </c>
      <c r="D204" s="16" t="inlineStr">
        <is>
          <t>CERRADA</t>
        </is>
      </c>
      <c r="E204" s="16" t="inlineStr">
        <is>
          <t>PAGADA</t>
        </is>
      </c>
      <c r="F204" s="16" t="inlineStr">
        <is>
          <t>Inversores Solares</t>
        </is>
      </c>
      <c r="G204" s="16" t="inlineStr"/>
      <c r="H204" s="16" t="inlineStr">
        <is>
          <t>Inversor comercial - trifásico 220V HUAWEI SUN2000 -50KTL-MG0-220V - UND</t>
        </is>
      </c>
      <c r="I204" s="28" t="n">
        <v>1</v>
      </c>
      <c r="J204" s="29" t="n">
        <v>16800000</v>
      </c>
      <c r="K204" s="29" t="n">
        <v>16800000</v>
      </c>
      <c r="L204" s="16" t="inlineStr"/>
      <c r="M204" s="29" t="n">
        <v>0</v>
      </c>
      <c r="N204" s="29" t="n">
        <v>16800000</v>
      </c>
      <c r="O204" s="16" t="inlineStr">
        <is>
          <t>JULIO CESAR DEAVILA MARTINEZ</t>
        </is>
      </c>
      <c r="P204" s="16" t="inlineStr">
        <is>
          <t>GRUPO SOLAIRE SAS</t>
        </is>
      </c>
      <c r="Q204" s="16" t="inlineStr">
        <is>
          <t>PLANEADA</t>
        </is>
      </c>
      <c r="R204" s="16" t="inlineStr">
        <is>
          <t>TECHO</t>
        </is>
      </c>
      <c r="S204" s="16" t="inlineStr">
        <is>
          <t>FEL24122</t>
        </is>
      </c>
    </row>
    <row r="205">
      <c r="A205" s="30" t="n">
        <v>45875.71366898148</v>
      </c>
      <c r="B205" s="18" t="n">
        <v>169</v>
      </c>
      <c r="C205" s="18" t="n">
        <v>100</v>
      </c>
      <c r="D205" s="18" t="inlineStr">
        <is>
          <t>CERRADA</t>
        </is>
      </c>
      <c r="E205" s="18" t="inlineStr">
        <is>
          <t>PAGADA</t>
        </is>
      </c>
      <c r="F205" s="18" t="inlineStr">
        <is>
          <t>Estructura Solar</t>
        </is>
      </c>
      <c r="G205" s="18" t="inlineStr"/>
      <c r="H205" s="18" t="inlineStr">
        <is>
          <t>ESTRUCTURA GOOMAX M CLAMP  - UND</t>
        </is>
      </c>
      <c r="I205" s="31" t="n">
        <v>106</v>
      </c>
      <c r="J205" s="32" t="n">
        <v>2626.26</v>
      </c>
      <c r="K205" s="32" t="n">
        <v>278383.56</v>
      </c>
      <c r="L205" s="18" t="inlineStr">
        <is>
          <t>IVA 19%</t>
        </is>
      </c>
      <c r="M205" s="32" t="n">
        <v>52893</v>
      </c>
      <c r="N205" s="32" t="n">
        <v>331276.56</v>
      </c>
      <c r="O205" s="18" t="inlineStr">
        <is>
          <t>JULIO CESAR DEAVILA MARTINEZ</t>
        </is>
      </c>
      <c r="P205" s="18" t="inlineStr">
        <is>
          <t>ENERGIA Y MOVILIDAD SAS</t>
        </is>
      </c>
      <c r="Q205" s="18" t="inlineStr">
        <is>
          <t>PLANEADA</t>
        </is>
      </c>
      <c r="R205" s="18" t="inlineStr">
        <is>
          <t>TECHO</t>
        </is>
      </c>
      <c r="S205" s="18" t="inlineStr">
        <is>
          <t>COTIZACION</t>
        </is>
      </c>
    </row>
    <row r="206">
      <c r="A206" s="27" t="n">
        <v>45875.71366898148</v>
      </c>
      <c r="B206" s="16" t="n">
        <v>169</v>
      </c>
      <c r="C206" s="16" t="n">
        <v>100</v>
      </c>
      <c r="D206" s="16" t="inlineStr">
        <is>
          <t>CERRADA</t>
        </is>
      </c>
      <c r="E206" s="16" t="inlineStr">
        <is>
          <t>PAGADA</t>
        </is>
      </c>
      <c r="F206" s="16" t="inlineStr">
        <is>
          <t>Estructura Solar</t>
        </is>
      </c>
      <c r="G206" s="16" t="inlineStr"/>
      <c r="H206" s="16" t="inlineStr">
        <is>
          <t>ESTRUCTURA GOOMAX GROUND LUG  - UND</t>
        </is>
      </c>
      <c r="I206" s="28" t="n">
        <v>44</v>
      </c>
      <c r="J206" s="29" t="n">
        <v>2820.79</v>
      </c>
      <c r="K206" s="29" t="n">
        <v>124114.76</v>
      </c>
      <c r="L206" s="16" t="inlineStr">
        <is>
          <t>IVA 19%</t>
        </is>
      </c>
      <c r="M206" s="29" t="n">
        <v>23582</v>
      </c>
      <c r="N206" s="29" t="n">
        <v>147696.76</v>
      </c>
      <c r="O206" s="16" t="inlineStr">
        <is>
          <t>JULIO CESAR DEAVILA MARTINEZ</t>
        </is>
      </c>
      <c r="P206" s="16" t="inlineStr">
        <is>
          <t>ENERGIA Y MOVILIDAD SAS</t>
        </is>
      </c>
      <c r="Q206" s="16" t="inlineStr">
        <is>
          <t>PLANEADA</t>
        </is>
      </c>
      <c r="R206" s="16" t="inlineStr">
        <is>
          <t>TECHO</t>
        </is>
      </c>
      <c r="S206" s="16" t="inlineStr">
        <is>
          <t>COTIZACION</t>
        </is>
      </c>
    </row>
    <row r="207">
      <c r="A207" s="30" t="n">
        <v>45875.71366898148</v>
      </c>
      <c r="B207" s="18" t="n">
        <v>169</v>
      </c>
      <c r="C207" s="18" t="n">
        <v>100</v>
      </c>
      <c r="D207" s="18" t="inlineStr">
        <is>
          <t>CERRADA</t>
        </is>
      </c>
      <c r="E207" s="18" t="inlineStr">
        <is>
          <t>PAGADA</t>
        </is>
      </c>
      <c r="F207" s="18" t="inlineStr">
        <is>
          <t>Estructura Solar</t>
        </is>
      </c>
      <c r="G207" s="18" t="inlineStr"/>
      <c r="H207" s="18" t="inlineStr">
        <is>
          <t>ESTRUCTURA GOOMAX E CLAMP  - UND</t>
        </is>
      </c>
      <c r="I207" s="31" t="n">
        <v>156</v>
      </c>
      <c r="J207" s="32" t="n">
        <v>3371.98</v>
      </c>
      <c r="K207" s="32" t="n">
        <v>526028.88</v>
      </c>
      <c r="L207" s="18" t="inlineStr">
        <is>
          <t>IVA 19%</t>
        </is>
      </c>
      <c r="M207" s="32" t="n">
        <v>99945</v>
      </c>
      <c r="N207" s="32" t="n">
        <v>625973.88</v>
      </c>
      <c r="O207" s="18" t="inlineStr">
        <is>
          <t>JULIO CESAR DEAVILA MARTINEZ</t>
        </is>
      </c>
      <c r="P207" s="18" t="inlineStr">
        <is>
          <t>ENERGIA Y MOVILIDAD SAS</t>
        </is>
      </c>
      <c r="Q207" s="18" t="inlineStr">
        <is>
          <t>PLANEADA</t>
        </is>
      </c>
      <c r="R207" s="18" t="inlineStr">
        <is>
          <t>TECHO</t>
        </is>
      </c>
      <c r="S207" s="18" t="inlineStr">
        <is>
          <t>COTIZACION</t>
        </is>
      </c>
    </row>
    <row r="208">
      <c r="A208" s="27" t="n">
        <v>45875.71366898148</v>
      </c>
      <c r="B208" s="16" t="n">
        <v>169</v>
      </c>
      <c r="C208" s="16" t="n">
        <v>100</v>
      </c>
      <c r="D208" s="16" t="inlineStr">
        <is>
          <t>CERRADA</t>
        </is>
      </c>
      <c r="E208" s="16" t="inlineStr">
        <is>
          <t>PAGADA</t>
        </is>
      </c>
      <c r="F208" s="16" t="inlineStr">
        <is>
          <t>Electricos</t>
        </is>
      </c>
      <c r="G208" s="16" t="inlineStr"/>
      <c r="H208" s="16" t="inlineStr">
        <is>
          <t>CABLE  SOLAR 6mm2 Cu NEGRO X METRO - UND</t>
        </is>
      </c>
      <c r="I208" s="28" t="n">
        <v>2000</v>
      </c>
      <c r="J208" s="29" t="n">
        <v>4005.37</v>
      </c>
      <c r="K208" s="29" t="n">
        <v>8010740</v>
      </c>
      <c r="L208" s="16" t="inlineStr">
        <is>
          <t>IVA 19%</t>
        </is>
      </c>
      <c r="M208" s="29" t="n">
        <v>1522041</v>
      </c>
      <c r="N208" s="29" t="n">
        <v>9532781</v>
      </c>
      <c r="O208" s="16" t="inlineStr">
        <is>
          <t>JULIO CESAR DEAVILA MARTINEZ</t>
        </is>
      </c>
      <c r="P208" s="16" t="inlineStr">
        <is>
          <t>ENERGIA Y MOVILIDAD SAS</t>
        </is>
      </c>
      <c r="Q208" s="16" t="inlineStr">
        <is>
          <t>PLANEADA</t>
        </is>
      </c>
      <c r="R208" s="16" t="inlineStr">
        <is>
          <t>TECHO</t>
        </is>
      </c>
      <c r="S208" s="16" t="inlineStr">
        <is>
          <t>COTIZACION</t>
        </is>
      </c>
    </row>
    <row r="209">
      <c r="A209" s="30" t="n">
        <v>45875.71366898148</v>
      </c>
      <c r="B209" s="18" t="n">
        <v>169</v>
      </c>
      <c r="C209" s="18" t="n">
        <v>100</v>
      </c>
      <c r="D209" s="18" t="inlineStr">
        <is>
          <t>CERRADA</t>
        </is>
      </c>
      <c r="E209" s="18" t="inlineStr">
        <is>
          <t>PAGADA</t>
        </is>
      </c>
      <c r="F209" s="18" t="inlineStr">
        <is>
          <t>Estructura Solar</t>
        </is>
      </c>
      <c r="G209" s="18" t="inlineStr"/>
      <c r="H209" s="18" t="inlineStr">
        <is>
          <t>ESTRUCTURA GOOMAX UNION DE PERFIL DE 20 CM - UND</t>
        </is>
      </c>
      <c r="I209" s="31" t="n">
        <v>4</v>
      </c>
      <c r="J209" s="32" t="n">
        <v>5155.24</v>
      </c>
      <c r="K209" s="32" t="n">
        <v>20620.96</v>
      </c>
      <c r="L209" s="18" t="inlineStr">
        <is>
          <t>IVA 19%</t>
        </is>
      </c>
      <c r="M209" s="32" t="n">
        <v>3918</v>
      </c>
      <c r="N209" s="32" t="n">
        <v>24538.96</v>
      </c>
      <c r="O209" s="18" t="inlineStr">
        <is>
          <t>JULIO CESAR DEAVILA MARTINEZ</t>
        </is>
      </c>
      <c r="P209" s="18" t="inlineStr">
        <is>
          <t>ENERGIA Y MOVILIDAD SAS</t>
        </is>
      </c>
      <c r="Q209" s="18" t="inlineStr">
        <is>
          <t>PLANEADA</t>
        </is>
      </c>
      <c r="R209" s="18" t="inlineStr">
        <is>
          <t>TECHO</t>
        </is>
      </c>
      <c r="S209" s="18" t="inlineStr">
        <is>
          <t>COTIZACION</t>
        </is>
      </c>
    </row>
    <row r="210">
      <c r="A210" s="27" t="n">
        <v>45875.71366898148</v>
      </c>
      <c r="B210" s="16" t="n">
        <v>169</v>
      </c>
      <c r="C210" s="16" t="n">
        <v>100</v>
      </c>
      <c r="D210" s="16" t="inlineStr">
        <is>
          <t>CERRADA</t>
        </is>
      </c>
      <c r="E210" s="16" t="inlineStr">
        <is>
          <t>PAGADA</t>
        </is>
      </c>
      <c r="F210" s="16" t="inlineStr">
        <is>
          <t>Estructura Solar</t>
        </is>
      </c>
      <c r="G210" s="16" t="inlineStr"/>
      <c r="H210" s="16" t="inlineStr">
        <is>
          <t>ESTRUCTURA GOOMAX FORE FEET - UND</t>
        </is>
      </c>
      <c r="I210" s="28" t="n">
        <v>44</v>
      </c>
      <c r="J210" s="29" t="n">
        <v>11477.7</v>
      </c>
      <c r="K210" s="29" t="n">
        <v>505018.8</v>
      </c>
      <c r="L210" s="16" t="inlineStr">
        <is>
          <t>IVA 19%</t>
        </is>
      </c>
      <c r="M210" s="29" t="n">
        <v>95954</v>
      </c>
      <c r="N210" s="29" t="n">
        <v>600972.8</v>
      </c>
      <c r="O210" s="16" t="inlineStr">
        <is>
          <t>JULIO CESAR DEAVILA MARTINEZ</t>
        </is>
      </c>
      <c r="P210" s="16" t="inlineStr">
        <is>
          <t>ENERGIA Y MOVILIDAD SAS</t>
        </is>
      </c>
      <c r="Q210" s="16" t="inlineStr">
        <is>
          <t>PLANEADA</t>
        </is>
      </c>
      <c r="R210" s="16" t="inlineStr">
        <is>
          <t>TECHO</t>
        </is>
      </c>
      <c r="S210" s="16" t="inlineStr">
        <is>
          <t>COTIZACION</t>
        </is>
      </c>
    </row>
    <row r="211">
      <c r="A211" s="30" t="n">
        <v>45875.71366898148</v>
      </c>
      <c r="B211" s="18" t="n">
        <v>169</v>
      </c>
      <c r="C211" s="18" t="n">
        <v>100</v>
      </c>
      <c r="D211" s="18" t="inlineStr">
        <is>
          <t>CERRADA</t>
        </is>
      </c>
      <c r="E211" s="18" t="inlineStr">
        <is>
          <t>PAGADA</t>
        </is>
      </c>
      <c r="F211" s="18" t="inlineStr">
        <is>
          <t>Estructura Solar</t>
        </is>
      </c>
      <c r="G211" s="18" t="inlineStr"/>
      <c r="H211" s="18" t="inlineStr">
        <is>
          <t>ESTRUCTURA GOOMAX REAR FEET - UND</t>
        </is>
      </c>
      <c r="I211" s="31" t="n">
        <v>233</v>
      </c>
      <c r="J211" s="32" t="n">
        <v>22015.14</v>
      </c>
      <c r="K211" s="32" t="n">
        <v>5129527.62</v>
      </c>
      <c r="L211" s="18" t="inlineStr">
        <is>
          <t>IVA 19%</t>
        </is>
      </c>
      <c r="M211" s="32" t="n">
        <v>974610</v>
      </c>
      <c r="N211" s="32" t="n">
        <v>6104137.62</v>
      </c>
      <c r="O211" s="18" t="inlineStr">
        <is>
          <t>JULIO CESAR DEAVILA MARTINEZ</t>
        </is>
      </c>
      <c r="P211" s="18" t="inlineStr">
        <is>
          <t>ENERGIA Y MOVILIDAD SAS</t>
        </is>
      </c>
      <c r="Q211" s="18" t="inlineStr">
        <is>
          <t>PLANEADA</t>
        </is>
      </c>
      <c r="R211" s="18" t="inlineStr">
        <is>
          <t>TECHO</t>
        </is>
      </c>
      <c r="S211" s="18" t="inlineStr">
        <is>
          <t>COTIZACION</t>
        </is>
      </c>
    </row>
    <row r="212">
      <c r="A212" s="27" t="n">
        <v>45875.71366898148</v>
      </c>
      <c r="B212" s="16" t="n">
        <v>169</v>
      </c>
      <c r="C212" s="16" t="n">
        <v>100</v>
      </c>
      <c r="D212" s="16" t="inlineStr">
        <is>
          <t>CERRADA</t>
        </is>
      </c>
      <c r="E212" s="16" t="inlineStr">
        <is>
          <t>PAGADA</t>
        </is>
      </c>
      <c r="F212" s="16" t="inlineStr">
        <is>
          <t>Estructura Solar</t>
        </is>
      </c>
      <c r="G212" s="16" t="inlineStr"/>
      <c r="H212" s="16" t="inlineStr">
        <is>
          <t>ESTRUCTURA GOOMAX RIEL 2,5 M - UND</t>
        </is>
      </c>
      <c r="I212" s="28" t="n">
        <v>57</v>
      </c>
      <c r="J212" s="29" t="n">
        <v>46915.9</v>
      </c>
      <c r="K212" s="29" t="n">
        <v>2674206.3</v>
      </c>
      <c r="L212" s="16" t="inlineStr">
        <is>
          <t>IVA 19%</t>
        </is>
      </c>
      <c r="M212" s="29" t="n">
        <v>508099</v>
      </c>
      <c r="N212" s="29" t="n">
        <v>3182305.3</v>
      </c>
      <c r="O212" s="16" t="inlineStr">
        <is>
          <t>JULIO CESAR DEAVILA MARTINEZ</t>
        </is>
      </c>
      <c r="P212" s="16" t="inlineStr">
        <is>
          <t>ENERGIA Y MOVILIDAD SAS</t>
        </is>
      </c>
      <c r="Q212" s="16" t="inlineStr">
        <is>
          <t>PLANEADA</t>
        </is>
      </c>
      <c r="R212" s="16" t="inlineStr">
        <is>
          <t>TECHO</t>
        </is>
      </c>
      <c r="S212" s="16" t="inlineStr">
        <is>
          <t>COTIZACION</t>
        </is>
      </c>
    </row>
    <row r="213">
      <c r="A213" s="30" t="n">
        <v>45875.71366898148</v>
      </c>
      <c r="B213" s="18" t="n">
        <v>169</v>
      </c>
      <c r="C213" s="18" t="n">
        <v>100</v>
      </c>
      <c r="D213" s="18" t="inlineStr">
        <is>
          <t>CERRADA</t>
        </is>
      </c>
      <c r="E213" s="18" t="inlineStr">
        <is>
          <t>PAGADA</t>
        </is>
      </c>
      <c r="F213" s="18" t="inlineStr">
        <is>
          <t>Estructura Solar</t>
        </is>
      </c>
      <c r="G213" s="18" t="inlineStr"/>
      <c r="H213" s="18" t="inlineStr">
        <is>
          <t>ESTRUCTURA GOOMAX RIEL 4,7 M - UND</t>
        </is>
      </c>
      <c r="I213" s="31" t="n">
        <v>16</v>
      </c>
      <c r="J213" s="32" t="n">
        <v>84234.64</v>
      </c>
      <c r="K213" s="32" t="n">
        <v>1347754.24</v>
      </c>
      <c r="L213" s="18" t="inlineStr">
        <is>
          <t>IVA 19%</t>
        </is>
      </c>
      <c r="M213" s="32" t="n">
        <v>256073</v>
      </c>
      <c r="N213" s="32" t="n">
        <v>1603827.24</v>
      </c>
      <c r="O213" s="18" t="inlineStr">
        <is>
          <t>JULIO CESAR DEAVILA MARTINEZ</t>
        </is>
      </c>
      <c r="P213" s="18" t="inlineStr">
        <is>
          <t>ENERGIA Y MOVILIDAD SAS</t>
        </is>
      </c>
      <c r="Q213" s="18" t="inlineStr">
        <is>
          <t>PLANEADA</t>
        </is>
      </c>
      <c r="R213" s="18" t="inlineStr">
        <is>
          <t>TECHO</t>
        </is>
      </c>
      <c r="S213" s="18" t="inlineStr">
        <is>
          <t>COTIZACION</t>
        </is>
      </c>
    </row>
    <row r="214">
      <c r="A214" s="27" t="n">
        <v>45866.50041666667</v>
      </c>
      <c r="B214" s="16" t="n">
        <v>65</v>
      </c>
      <c r="C214" s="16" t="n">
        <v>50</v>
      </c>
      <c r="D214" s="16" t="inlineStr">
        <is>
          <t>CERRADA</t>
        </is>
      </c>
      <c r="E214" s="16" t="inlineStr">
        <is>
          <t>PAGADA</t>
        </is>
      </c>
      <c r="F214" s="16" t="inlineStr">
        <is>
          <t>Equipos</t>
        </is>
      </c>
      <c r="G214" s="16" t="inlineStr"/>
      <c r="H214" s="16" t="inlineStr">
        <is>
          <t>TABLERO PARA SOBREPONER, GRADO DE PROTECCIÓN IP 65 LAMINA GALVANIZADA, CALIBRE 16, COLOR RAL 7035. (100X80X30) CM. (ALTO X ANCHO X FONDO). - UND</t>
        </is>
      </c>
      <c r="I214" s="28" t="n">
        <v>1</v>
      </c>
      <c r="J214" s="29" t="n">
        <v>4449211</v>
      </c>
      <c r="K214" s="29" t="n">
        <v>4449211</v>
      </c>
      <c r="L214" s="16" t="inlineStr"/>
      <c r="M214" s="29" t="n">
        <v>0</v>
      </c>
      <c r="N214" s="29" t="n">
        <v>4449211</v>
      </c>
      <c r="O214" s="16" t="inlineStr">
        <is>
          <t>JULIO CESAR DEAVILA MARTINEZ</t>
        </is>
      </c>
      <c r="P214" s="16" t="inlineStr">
        <is>
          <t>TABLEROS ELECTRICOS S.A. TABLESA</t>
        </is>
      </c>
      <c r="Q214" s="16" t="inlineStr">
        <is>
          <t>PLANEADA</t>
        </is>
      </c>
      <c r="R214" s="16" t="inlineStr">
        <is>
          <t>TECHO</t>
        </is>
      </c>
      <c r="S214" s="16" t="inlineStr">
        <is>
          <t>COTIZACION  TA439-25</t>
        </is>
      </c>
    </row>
  </sheetData>
  <autoFilter ref="A1:S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2026-09-21T17:47:45Z</dcterms:created>
  <dcterms:modified xsi:type="dcterms:W3CDTF">2026-09-21T17:47:45Z</dcterms:modified>
</cp:coreProperties>
</file>