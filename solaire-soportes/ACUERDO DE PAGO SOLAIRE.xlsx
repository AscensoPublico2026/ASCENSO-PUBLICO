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7C095E34-A25A-40E9-ADE9-B3A11CDB8BD8}" xr6:coauthVersionLast="47" xr6:coauthVersionMax="47" xr10:uidLastSave="{00000000-0000-0000-0000-000000000000}"/>
  <bookViews>
    <workbookView xWindow="-110" yWindow="-110" windowWidth="19420" windowHeight="11020" xr2:uid="{DD8E3081-3FCC-4AF8-B29A-F2DFD12CD8C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F2" i="2"/>
  <c r="L2" i="2" s="1"/>
  <c r="L18" i="2" s="1"/>
  <c r="J3" i="1"/>
  <c r="H4" i="1"/>
  <c r="H5" i="1" s="1"/>
  <c r="G4" i="1"/>
  <c r="G5" i="1" s="1"/>
  <c r="F4" i="1"/>
  <c r="F5" i="1" s="1"/>
</calcChain>
</file>

<file path=xl/sharedStrings.xml><?xml version="1.0" encoding="utf-8"?>
<sst xmlns="http://schemas.openxmlformats.org/spreadsheetml/2006/main" count="95" uniqueCount="41">
  <si>
    <t>Piendamora 1</t>
  </si>
  <si>
    <t>Stefanya lasso</t>
  </si>
  <si>
    <t>Listo para despacho</t>
  </si>
  <si>
    <t>Axis 1</t>
  </si>
  <si>
    <t>Evolti 2</t>
  </si>
  <si>
    <t>Jeancarlo Moncayo</t>
  </si>
  <si>
    <t>Arturo</t>
  </si>
  <si>
    <t>Elkin Polo</t>
  </si>
  <si>
    <t>Gamma 2</t>
  </si>
  <si>
    <t>Nueva Reserva</t>
  </si>
  <si>
    <t>Sigma 1</t>
  </si>
  <si>
    <t>Sigma 2</t>
  </si>
  <si>
    <t>Delta 5 (Piendaroma 2)</t>
  </si>
  <si>
    <t>Virox</t>
  </si>
  <si>
    <t>Altair 1</t>
  </si>
  <si>
    <t>Altair 2</t>
  </si>
  <si>
    <t>Axis 2</t>
  </si>
  <si>
    <t>Altair 3</t>
  </si>
  <si>
    <t>Gamma 3</t>
  </si>
  <si>
    <t>Gamma 4</t>
  </si>
  <si>
    <t>Formosa 1</t>
  </si>
  <si>
    <t>Formosa 2</t>
  </si>
  <si>
    <t>Formosa 3</t>
  </si>
  <si>
    <t>PROYECTO</t>
  </si>
  <si>
    <t>FECHA ESTIMADA DE ENTREGA</t>
  </si>
  <si>
    <t>GERENTE</t>
  </si>
  <si>
    <t>ESTADO DE COMPRA</t>
  </si>
  <si>
    <t>OC</t>
  </si>
  <si>
    <t>SUN2000-330KTL-H1</t>
  </si>
  <si>
    <t>SUN2000-40KTL-M3</t>
  </si>
  <si>
    <t>SUN2000 50KTL-M3</t>
  </si>
  <si>
    <t>SMARTLOGGER3000A01AU</t>
  </si>
  <si>
    <t>iva</t>
  </si>
  <si>
    <t>transporte</t>
  </si>
  <si>
    <t>cantidades</t>
  </si>
  <si>
    <t>valor unitario</t>
  </si>
  <si>
    <t>TOTAL POR OC</t>
  </si>
  <si>
    <t>IVA</t>
  </si>
  <si>
    <t>TRANSPORTE</t>
  </si>
  <si>
    <t>PENDIENTE OC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</si>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</sst>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&quot;$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2" fontId="4" fillId="0" borderId="0" xfId="1" applyNumberFormat="1" applyFont="1" applyFill="1" applyBorder="1" applyAlignment="1">
      <alignment horizontal="center" vertical="center" wrapText="1"/>
    </xf>
    <xf numFmtId="172" fontId="0" fillId="2" borderId="1" xfId="1" applyNumberFormat="1" applyFont="1" applyFill="1" applyBorder="1"/>
    <xf numFmtId="172" fontId="2" fillId="0" borderId="0" xfId="1" applyNumberFormat="1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2" fontId="0" fillId="0" borderId="0" xfId="0" applyNumberFormat="1" applyFill="1"/>
    <xf numFmtId="172" fontId="0" fillId="0" borderId="0" xfId="1" applyNumberFormat="1" applyFont="1" applyFill="1" applyBorder="1"/>
    <xf numFmtId="172" fontId="1" fillId="0" borderId="1" xfId="1" applyNumberFormat="1" applyFont="1" applyFill="1" applyBorder="1" applyAlignment="1">
      <alignment vertical="center"/>
    </xf>
    <xf numFmtId="172" fontId="0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2" fontId="2" fillId="0" borderId="1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7F2A-4A64-47C8-96F1-3FAC6F97469D}">
  <dimension ref="A1:L24"/>
  <sheetViews>
    <sheetView tabSelected="1" workbookViewId="0">
      <selection activeCell="K7" sqref="K7"/>
    </sheetView>
  </sheetViews>
  <sheetFormatPr baseColWidth="10" defaultRowHeight="14.5" x14ac:dyDescent="0.35"/>
  <cols>
    <col min="1" max="1" width="10.90625" style="1"/>
    <col min="2" max="2" width="10.08984375" style="1" bestFit="1" customWidth="1"/>
    <col min="3" max="3" width="16.26953125" style="1" bestFit="1" customWidth="1"/>
    <col min="4" max="4" width="10.08984375" style="1" bestFit="1" customWidth="1"/>
    <col min="5" max="5" width="12.54296875" style="5" customWidth="1"/>
    <col min="6" max="6" width="13.90625" style="1" bestFit="1" customWidth="1"/>
    <col min="7" max="9" width="12.90625" style="1" bestFit="1" customWidth="1"/>
    <col min="10" max="10" width="11.36328125" style="1" bestFit="1" customWidth="1"/>
    <col min="11" max="11" width="12.90625" style="1" bestFit="1" customWidth="1"/>
    <col min="12" max="12" width="14.81640625" style="1" bestFit="1" customWidth="1"/>
    <col min="13" max="16384" width="10.90625" style="1"/>
  </cols>
  <sheetData>
    <row r="1" spans="1:12" ht="58" x14ac:dyDescent="0.3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  <c r="K1" s="16" t="s">
        <v>33</v>
      </c>
    </row>
    <row r="2" spans="1:12" x14ac:dyDescent="0.35">
      <c r="A2" s="15" t="s">
        <v>34</v>
      </c>
      <c r="B2" s="15"/>
      <c r="C2" s="15"/>
      <c r="D2" s="15"/>
      <c r="E2" s="15"/>
      <c r="F2" s="6">
        <v>3</v>
      </c>
      <c r="G2" s="6">
        <v>1</v>
      </c>
      <c r="H2" s="6">
        <v>1</v>
      </c>
      <c r="I2" s="6">
        <v>1</v>
      </c>
      <c r="J2" s="7">
        <v>0.19</v>
      </c>
      <c r="K2" s="6">
        <v>1</v>
      </c>
    </row>
    <row r="3" spans="1:12" ht="29" x14ac:dyDescent="0.35">
      <c r="A3" s="11" t="s">
        <v>35</v>
      </c>
      <c r="B3" s="11"/>
      <c r="C3" s="11"/>
      <c r="D3" s="11"/>
      <c r="E3" s="11"/>
      <c r="F3" s="14">
        <v>28200000</v>
      </c>
      <c r="G3" s="12">
        <v>9006000</v>
      </c>
      <c r="H3" s="12">
        <v>9640000</v>
      </c>
      <c r="I3" s="12">
        <v>1720000</v>
      </c>
      <c r="J3" s="12">
        <f>+I3*J2</f>
        <v>326800</v>
      </c>
      <c r="K3" s="12"/>
    </row>
    <row r="4" spans="1:12" ht="29" x14ac:dyDescent="0.35">
      <c r="A4" s="8" t="s">
        <v>0</v>
      </c>
      <c r="B4" s="9">
        <v>46295</v>
      </c>
      <c r="C4" s="8" t="s">
        <v>1</v>
      </c>
      <c r="D4" s="8" t="s">
        <v>2</v>
      </c>
      <c r="E4" s="10">
        <v>3990</v>
      </c>
      <c r="F4" s="13">
        <f>+F3*F2</f>
        <v>84600000</v>
      </c>
      <c r="G4" s="13">
        <f>+G3*G2</f>
        <v>9006000</v>
      </c>
      <c r="H4" s="13">
        <f>+H3*H2</f>
        <v>9640000</v>
      </c>
      <c r="I4" s="13"/>
      <c r="J4" s="13"/>
      <c r="K4" s="13">
        <v>1130000</v>
      </c>
      <c r="L4" s="17"/>
    </row>
    <row r="5" spans="1:12" ht="29" x14ac:dyDescent="0.35">
      <c r="A5" s="8" t="s">
        <v>3</v>
      </c>
      <c r="B5" s="9">
        <v>46296</v>
      </c>
      <c r="C5" s="8" t="s">
        <v>1</v>
      </c>
      <c r="D5" s="8" t="s">
        <v>2</v>
      </c>
      <c r="E5" s="10">
        <v>3991</v>
      </c>
      <c r="F5" s="13">
        <f>+F4</f>
        <v>84600000</v>
      </c>
      <c r="G5" s="13">
        <f>+G4</f>
        <v>9006000</v>
      </c>
      <c r="H5" s="13">
        <f>+H4</f>
        <v>9640000</v>
      </c>
      <c r="I5" s="13"/>
      <c r="J5" s="13"/>
      <c r="K5" s="13">
        <v>1130000</v>
      </c>
      <c r="L5" s="17"/>
    </row>
    <row r="6" spans="1:12" x14ac:dyDescent="0.35">
      <c r="E6" s="1"/>
    </row>
    <row r="7" spans="1:12" x14ac:dyDescent="0.35">
      <c r="E7" s="1"/>
    </row>
    <row r="8" spans="1:12" x14ac:dyDescent="0.35">
      <c r="E8" s="1"/>
    </row>
    <row r="9" spans="1:12" x14ac:dyDescent="0.35">
      <c r="E9" s="1"/>
    </row>
    <row r="10" spans="1:12" x14ac:dyDescent="0.35">
      <c r="E10" s="1"/>
    </row>
    <row r="11" spans="1:12" x14ac:dyDescent="0.35">
      <c r="E11" s="1"/>
    </row>
    <row r="12" spans="1:12" x14ac:dyDescent="0.35">
      <c r="E12" s="1"/>
    </row>
    <row r="13" spans="1:12" x14ac:dyDescent="0.35">
      <c r="E13" s="1"/>
    </row>
    <row r="14" spans="1:12" x14ac:dyDescent="0.35">
      <c r="E14" s="1"/>
    </row>
    <row r="15" spans="1:12" x14ac:dyDescent="0.35">
      <c r="E15" s="1"/>
    </row>
    <row r="16" spans="1:12" x14ac:dyDescent="0.35">
      <c r="E16" s="1"/>
    </row>
    <row r="17" spans="5:11" x14ac:dyDescent="0.35">
      <c r="E17" s="1"/>
    </row>
    <row r="18" spans="5:11" x14ac:dyDescent="0.35">
      <c r="E18" s="1"/>
    </row>
    <row r="19" spans="5:11" x14ac:dyDescent="0.35">
      <c r="E19" s="1"/>
    </row>
    <row r="20" spans="5:11" x14ac:dyDescent="0.35">
      <c r="E20" s="1"/>
    </row>
    <row r="21" spans="5:11" x14ac:dyDescent="0.35">
      <c r="E21" s="1"/>
    </row>
    <row r="22" spans="5:11" x14ac:dyDescent="0.35">
      <c r="E22" s="1"/>
    </row>
    <row r="23" spans="5:11" x14ac:dyDescent="0.35">
      <c r="E23" s="1"/>
    </row>
    <row r="24" spans="5:11" x14ac:dyDescent="0.35">
      <c r="K2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6E2-6082-438D-85FA-181990BF310E}">
  <dimension ref="A1:L18"/>
  <sheetViews>
    <sheetView topLeftCell="A7" zoomScale="70" zoomScaleNormal="70" workbookViewId="0">
      <selection activeCell="J2" sqref="J2"/>
    </sheetView>
  </sheetViews>
  <sheetFormatPr baseColWidth="10" defaultRowHeight="14.5" x14ac:dyDescent="0.35"/>
  <cols>
    <col min="5" max="5" width="24.1796875" customWidth="1"/>
    <col min="6" max="6" width="11.26953125" bestFit="1" customWidth="1"/>
    <col min="7" max="8" width="10.26953125" bestFit="1" customWidth="1"/>
    <col min="9" max="9" width="10.36328125" bestFit="1" customWidth="1"/>
    <col min="10" max="10" width="8.7265625" bestFit="1" customWidth="1"/>
    <col min="11" max="11" width="11.81640625" bestFit="1" customWidth="1"/>
    <col min="12" max="12" width="13.81640625" bestFit="1" customWidth="1"/>
  </cols>
  <sheetData>
    <row r="1" spans="1:12" ht="58" x14ac:dyDescent="0.35">
      <c r="A1" s="16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37</v>
      </c>
      <c r="K1" s="16" t="s">
        <v>38</v>
      </c>
      <c r="L1" s="16" t="s">
        <v>36</v>
      </c>
    </row>
    <row r="2" spans="1:12" ht="29" x14ac:dyDescent="0.35">
      <c r="A2" s="2" t="s">
        <v>4</v>
      </c>
      <c r="B2" s="3">
        <v>46311</v>
      </c>
      <c r="C2" s="2" t="s">
        <v>5</v>
      </c>
      <c r="D2" s="2" t="s">
        <v>2</v>
      </c>
      <c r="E2" s="4">
        <v>3907</v>
      </c>
      <c r="F2" s="19">
        <f>+Hoja1!F3*Hoja1!F2</f>
        <v>84600000</v>
      </c>
      <c r="G2" s="19"/>
      <c r="H2" s="19"/>
      <c r="I2" s="19"/>
      <c r="J2" s="19"/>
      <c r="K2" s="19">
        <v>1270000</v>
      </c>
      <c r="L2" s="20">
        <f>+F2+K2</f>
        <v>85870000</v>
      </c>
    </row>
    <row r="3" spans="1:12" ht="29" x14ac:dyDescent="0.35">
      <c r="A3" s="2" t="s">
        <v>6</v>
      </c>
      <c r="B3" s="3">
        <v>46329</v>
      </c>
      <c r="C3" s="2" t="s">
        <v>7</v>
      </c>
      <c r="D3" s="2" t="s">
        <v>2</v>
      </c>
      <c r="E3" s="21" t="s">
        <v>39</v>
      </c>
      <c r="F3" s="19">
        <v>84600000</v>
      </c>
      <c r="G3" s="19">
        <v>9006000</v>
      </c>
      <c r="H3" s="19">
        <v>9640000</v>
      </c>
      <c r="I3" s="20">
        <v>1720000</v>
      </c>
      <c r="J3" s="20">
        <v>326800</v>
      </c>
      <c r="K3" s="19">
        <v>0</v>
      </c>
      <c r="L3" s="20">
        <f>+F3+G3+H3+I3+J3</f>
        <v>105292800</v>
      </c>
    </row>
    <row r="4" spans="1:12" ht="29" x14ac:dyDescent="0.35">
      <c r="A4" s="2" t="s">
        <v>8</v>
      </c>
      <c r="B4" s="3">
        <v>46329</v>
      </c>
      <c r="C4" s="2" t="s">
        <v>7</v>
      </c>
      <c r="D4" s="2" t="s">
        <v>9</v>
      </c>
      <c r="E4" s="21" t="s">
        <v>39</v>
      </c>
      <c r="F4" s="19">
        <v>84600000</v>
      </c>
      <c r="G4" s="19">
        <v>9006000</v>
      </c>
      <c r="H4" s="19">
        <v>9640000</v>
      </c>
      <c r="I4" s="20">
        <v>1720000</v>
      </c>
      <c r="J4" s="20">
        <v>326800</v>
      </c>
      <c r="K4" s="19">
        <v>0</v>
      </c>
      <c r="L4" s="20">
        <f>+F4+G4+H4+I4+J4</f>
        <v>105292800</v>
      </c>
    </row>
    <row r="5" spans="1:12" ht="29" x14ac:dyDescent="0.35">
      <c r="A5" s="2" t="s">
        <v>10</v>
      </c>
      <c r="B5" s="3">
        <v>46329</v>
      </c>
      <c r="C5" s="2" t="s">
        <v>5</v>
      </c>
      <c r="D5" s="2" t="s">
        <v>9</v>
      </c>
      <c r="E5" s="21" t="s">
        <v>39</v>
      </c>
      <c r="F5" s="19">
        <v>84600000</v>
      </c>
      <c r="G5" s="19">
        <v>9006000</v>
      </c>
      <c r="H5" s="19">
        <v>9640000</v>
      </c>
      <c r="I5" s="20">
        <v>1720000</v>
      </c>
      <c r="J5" s="20">
        <v>326800</v>
      </c>
      <c r="K5" s="19">
        <v>0</v>
      </c>
      <c r="L5" s="20">
        <f>+F5+G5+H5+I5+J5</f>
        <v>105292800</v>
      </c>
    </row>
    <row r="6" spans="1:12" ht="29" x14ac:dyDescent="0.35">
      <c r="A6" s="2" t="s">
        <v>11</v>
      </c>
      <c r="B6" s="3">
        <v>46329</v>
      </c>
      <c r="C6" s="2" t="s">
        <v>5</v>
      </c>
      <c r="D6" s="2" t="s">
        <v>9</v>
      </c>
      <c r="E6" s="21" t="s">
        <v>39</v>
      </c>
      <c r="F6" s="19">
        <v>84600000</v>
      </c>
      <c r="G6" s="19">
        <v>9006000</v>
      </c>
      <c r="H6" s="19">
        <v>9640000</v>
      </c>
      <c r="I6" s="20">
        <v>1720000</v>
      </c>
      <c r="J6" s="20">
        <v>326800</v>
      </c>
      <c r="K6" s="19" t="s">
        <v>40</v>
      </c>
      <c r="L6" s="20">
        <f>+F6+G6+H6+I6+J6</f>
        <v>105292800</v>
      </c>
    </row>
    <row r="7" spans="1:12" ht="43.5" x14ac:dyDescent="0.35">
      <c r="A7" s="2" t="s">
        <v>12</v>
      </c>
      <c r="B7" s="3">
        <v>46339</v>
      </c>
      <c r="C7" s="2" t="s">
        <v>1</v>
      </c>
      <c r="D7" s="2" t="s">
        <v>2</v>
      </c>
      <c r="E7" s="21" t="s">
        <v>39</v>
      </c>
      <c r="F7" s="19">
        <v>84600000</v>
      </c>
      <c r="G7" s="19">
        <v>9006000</v>
      </c>
      <c r="H7" s="19">
        <v>9640000</v>
      </c>
      <c r="I7" s="20">
        <v>1720000</v>
      </c>
      <c r="J7" s="20">
        <v>326800</v>
      </c>
      <c r="K7" s="19">
        <v>0</v>
      </c>
      <c r="L7" s="20">
        <f>+F7+G7+H7+I7+J7</f>
        <v>105292800</v>
      </c>
    </row>
    <row r="8" spans="1:12" ht="29" x14ac:dyDescent="0.35">
      <c r="A8" s="2" t="s">
        <v>13</v>
      </c>
      <c r="B8" s="3">
        <v>46342</v>
      </c>
      <c r="C8" s="2" t="s">
        <v>5</v>
      </c>
      <c r="D8" s="2" t="s">
        <v>9</v>
      </c>
      <c r="E8" s="21" t="s">
        <v>39</v>
      </c>
      <c r="F8" s="19">
        <v>84600000</v>
      </c>
      <c r="G8" s="19">
        <v>9006000</v>
      </c>
      <c r="H8" s="19">
        <v>9640000</v>
      </c>
      <c r="I8" s="20">
        <v>1720000</v>
      </c>
      <c r="J8" s="20">
        <v>326800</v>
      </c>
      <c r="K8" s="19">
        <v>0</v>
      </c>
      <c r="L8" s="20">
        <f>+F8+G8+H8+I8+J8</f>
        <v>105292800</v>
      </c>
    </row>
    <row r="9" spans="1:12" ht="29" x14ac:dyDescent="0.35">
      <c r="A9" s="2" t="s">
        <v>14</v>
      </c>
      <c r="B9" s="3">
        <v>46359</v>
      </c>
      <c r="C9" s="2" t="s">
        <v>1</v>
      </c>
      <c r="D9" s="2" t="s">
        <v>9</v>
      </c>
      <c r="E9" s="21" t="s">
        <v>39</v>
      </c>
      <c r="F9" s="19">
        <v>84600000</v>
      </c>
      <c r="G9" s="19">
        <v>9006000</v>
      </c>
      <c r="H9" s="19">
        <v>9640000</v>
      </c>
      <c r="I9" s="20">
        <v>1720000</v>
      </c>
      <c r="J9" s="20">
        <v>326800</v>
      </c>
      <c r="K9" s="19">
        <v>0</v>
      </c>
      <c r="L9" s="20">
        <f>+F9+G9+H9+I9+J9</f>
        <v>105292800</v>
      </c>
    </row>
    <row r="10" spans="1:12" ht="29" x14ac:dyDescent="0.35">
      <c r="A10" s="2" t="s">
        <v>15</v>
      </c>
      <c r="B10" s="3">
        <v>46359</v>
      </c>
      <c r="C10" s="2" t="s">
        <v>1</v>
      </c>
      <c r="D10" s="2" t="s">
        <v>9</v>
      </c>
      <c r="E10" s="21" t="s">
        <v>39</v>
      </c>
      <c r="F10" s="19">
        <v>84600000</v>
      </c>
      <c r="G10" s="19">
        <v>9006000</v>
      </c>
      <c r="H10" s="19">
        <v>9640000</v>
      </c>
      <c r="I10" s="20">
        <v>1720000</v>
      </c>
      <c r="J10" s="20">
        <v>326800</v>
      </c>
      <c r="K10" s="19">
        <v>0</v>
      </c>
      <c r="L10" s="20">
        <f>+F10+G10+H10+I10+J10</f>
        <v>105292800</v>
      </c>
    </row>
    <row r="11" spans="1:12" ht="29" x14ac:dyDescent="0.35">
      <c r="A11" s="2" t="s">
        <v>16</v>
      </c>
      <c r="B11" s="3">
        <v>46402</v>
      </c>
      <c r="C11" s="2" t="s">
        <v>1</v>
      </c>
      <c r="D11" s="2" t="s">
        <v>9</v>
      </c>
      <c r="E11" s="21" t="s">
        <v>39</v>
      </c>
      <c r="F11" s="19">
        <v>84600000</v>
      </c>
      <c r="G11" s="19">
        <v>9006000</v>
      </c>
      <c r="H11" s="19">
        <v>9640000</v>
      </c>
      <c r="I11" s="20">
        <v>1720000</v>
      </c>
      <c r="J11" s="20">
        <v>326800</v>
      </c>
      <c r="K11" s="19">
        <v>0</v>
      </c>
      <c r="L11" s="20">
        <f>+F11+G11+H11+I11+J11</f>
        <v>105292800</v>
      </c>
    </row>
    <row r="12" spans="1:12" ht="29" x14ac:dyDescent="0.35">
      <c r="A12" s="2" t="s">
        <v>17</v>
      </c>
      <c r="B12" s="3">
        <v>46402</v>
      </c>
      <c r="C12" s="2" t="s">
        <v>1</v>
      </c>
      <c r="D12" s="2" t="s">
        <v>9</v>
      </c>
      <c r="E12" s="21" t="s">
        <v>39</v>
      </c>
      <c r="F12" s="19">
        <v>84600000</v>
      </c>
      <c r="G12" s="19">
        <v>9006000</v>
      </c>
      <c r="H12" s="19">
        <v>9640000</v>
      </c>
      <c r="I12" s="20">
        <v>1720000</v>
      </c>
      <c r="J12" s="20">
        <v>326800</v>
      </c>
      <c r="K12" s="19">
        <v>0</v>
      </c>
      <c r="L12" s="20">
        <f>+F12+G12+H12+I12+J12</f>
        <v>105292800</v>
      </c>
    </row>
    <row r="13" spans="1:12" ht="29" x14ac:dyDescent="0.35">
      <c r="A13" s="2" t="s">
        <v>18</v>
      </c>
      <c r="B13" s="3">
        <v>46402</v>
      </c>
      <c r="C13" s="2" t="s">
        <v>7</v>
      </c>
      <c r="D13" s="2" t="s">
        <v>9</v>
      </c>
      <c r="E13" s="21" t="s">
        <v>39</v>
      </c>
      <c r="F13" s="19">
        <v>84600000</v>
      </c>
      <c r="G13" s="19">
        <v>9006000</v>
      </c>
      <c r="H13" s="19">
        <v>9640000</v>
      </c>
      <c r="I13" s="20">
        <v>1720000</v>
      </c>
      <c r="J13" s="20">
        <v>326800</v>
      </c>
      <c r="K13" s="19">
        <v>0</v>
      </c>
      <c r="L13" s="20">
        <f>+F13+G13+H13+I13+J13</f>
        <v>105292800</v>
      </c>
    </row>
    <row r="14" spans="1:12" ht="29" x14ac:dyDescent="0.35">
      <c r="A14" s="2" t="s">
        <v>19</v>
      </c>
      <c r="B14" s="3">
        <v>46402</v>
      </c>
      <c r="C14" s="2" t="s">
        <v>7</v>
      </c>
      <c r="D14" s="2" t="s">
        <v>9</v>
      </c>
      <c r="E14" s="21" t="s">
        <v>39</v>
      </c>
      <c r="F14" s="19">
        <v>84600000</v>
      </c>
      <c r="G14" s="19">
        <v>9006000</v>
      </c>
      <c r="H14" s="19">
        <v>9640000</v>
      </c>
      <c r="I14" s="20">
        <v>1720000</v>
      </c>
      <c r="J14" s="20">
        <v>326800</v>
      </c>
      <c r="K14" s="19">
        <v>0</v>
      </c>
      <c r="L14" s="20">
        <f>+F14+G14+H14+I14+J14</f>
        <v>105292800</v>
      </c>
    </row>
    <row r="15" spans="1:12" ht="29" x14ac:dyDescent="0.35">
      <c r="A15" s="2" t="s">
        <v>20</v>
      </c>
      <c r="B15" s="3">
        <v>46402</v>
      </c>
      <c r="C15" s="2" t="s">
        <v>1</v>
      </c>
      <c r="D15" s="2" t="s">
        <v>9</v>
      </c>
      <c r="E15" s="21" t="s">
        <v>39</v>
      </c>
      <c r="F15" s="19">
        <v>84600000</v>
      </c>
      <c r="G15" s="19">
        <v>9006000</v>
      </c>
      <c r="H15" s="19">
        <v>9640000</v>
      </c>
      <c r="I15" s="20">
        <v>1720000</v>
      </c>
      <c r="J15" s="20">
        <v>326800</v>
      </c>
      <c r="K15" s="19">
        <v>0</v>
      </c>
      <c r="L15" s="20">
        <f>+F15+G15+H15+I15+J15</f>
        <v>105292800</v>
      </c>
    </row>
    <row r="16" spans="1:12" ht="29" x14ac:dyDescent="0.35">
      <c r="A16" s="2" t="s">
        <v>21</v>
      </c>
      <c r="B16" s="3">
        <v>46402</v>
      </c>
      <c r="C16" s="2" t="s">
        <v>1</v>
      </c>
      <c r="D16" s="2" t="s">
        <v>9</v>
      </c>
      <c r="E16" s="21" t="s">
        <v>39</v>
      </c>
      <c r="F16" s="19">
        <v>84600000</v>
      </c>
      <c r="G16" s="19">
        <v>9006000</v>
      </c>
      <c r="H16" s="19">
        <v>9640000</v>
      </c>
      <c r="I16" s="20">
        <v>1720000</v>
      </c>
      <c r="J16" s="20">
        <v>326800</v>
      </c>
      <c r="K16" s="19">
        <v>0</v>
      </c>
      <c r="L16" s="20">
        <f>+F16+G16+H16+I16+J16</f>
        <v>105292800</v>
      </c>
    </row>
    <row r="17" spans="1:12" ht="29" x14ac:dyDescent="0.35">
      <c r="A17" s="2" t="s">
        <v>22</v>
      </c>
      <c r="B17" s="3">
        <v>46402</v>
      </c>
      <c r="C17" s="2" t="s">
        <v>1</v>
      </c>
      <c r="D17" s="2" t="s">
        <v>9</v>
      </c>
      <c r="E17" s="21" t="s">
        <v>39</v>
      </c>
      <c r="F17" s="19">
        <v>84600000</v>
      </c>
      <c r="G17" s="19">
        <v>9006000</v>
      </c>
      <c r="H17" s="19">
        <v>9640000</v>
      </c>
      <c r="I17" s="20">
        <v>1720000</v>
      </c>
      <c r="J17" s="20">
        <v>326800</v>
      </c>
      <c r="K17" s="19">
        <v>0</v>
      </c>
      <c r="L17" s="20">
        <f>+F17+G17+H17+I17+J17</f>
        <v>105292800</v>
      </c>
    </row>
    <row r="18" spans="1:12" x14ac:dyDescent="0.35">
      <c r="A18" s="1"/>
      <c r="B18" s="1"/>
      <c r="C18" s="1"/>
      <c r="D18" s="1"/>
      <c r="E18" s="5"/>
      <c r="F18" s="1"/>
      <c r="G18" s="1"/>
      <c r="H18" s="1"/>
      <c r="I18" s="1"/>
      <c r="J18" s="1"/>
      <c r="K18" s="18"/>
      <c r="L18" s="22">
        <f>+SUM(L1:L17)</f>
        <v>1665262000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Deavila Martinez</dc:creator>
  <cp:lastModifiedBy>Julio Cesar Deavila Martinez</cp:lastModifiedBy>
  <dcterms:created xsi:type="dcterms:W3CDTF">2026-09-22T20:09:15Z</dcterms:created>
  <dcterms:modified xsi:type="dcterms:W3CDTF">2026-09-22T21:09:44Z</dcterms:modified>
</cp:coreProperties>
</file>